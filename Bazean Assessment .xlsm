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avis\Desktop\Internship\Bazean\"/>
    </mc:Choice>
  </mc:AlternateContent>
  <bookViews>
    <workbookView xWindow="0" yWindow="0" windowWidth="19200" windowHeight="7310"/>
  </bookViews>
  <sheets>
    <sheet name="33053037830000" sheetId="1" r:id="rId1"/>
    <sheet name="33053047860000" sheetId="3" r:id="rId2"/>
    <sheet name="33053047870000" sheetId="4" r:id="rId3"/>
    <sheet name="33053060370000" sheetId="5" r:id="rId4"/>
    <sheet name="Anaylsis" sheetId="6" r:id="rId5"/>
  </sheets>
  <functionGroups builtInGroupCount="18"/>
  <definedNames>
    <definedName name="solver_adj" localSheetId="0" hidden="1">'33053037830000'!$J$1:$J$3</definedName>
    <definedName name="solver_adj" localSheetId="1" hidden="1">'33053047860000'!$J$1:$J$3</definedName>
    <definedName name="solver_adj" localSheetId="2" hidden="1">'33053047870000'!$J$1:$J$3</definedName>
    <definedName name="solver_adj" localSheetId="3" hidden="1">'33053060370000'!$J$1:$J$3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0" hidden="1">'33053037830000'!$J$3</definedName>
    <definedName name="solver_lhs1" localSheetId="1" hidden="1">'33053047860000'!$J$2</definedName>
    <definedName name="solver_lhs1" localSheetId="2" hidden="1">'33053047870000'!$J$3</definedName>
    <definedName name="solver_lhs2" localSheetId="1" hidden="1">'33053047860000'!$J$3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0" hidden="1">1</definedName>
    <definedName name="solver_num" localSheetId="1" hidden="1">2</definedName>
    <definedName name="solver_num" localSheetId="2" hidden="1">1</definedName>
    <definedName name="solver_num" localSheetId="3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0" hidden="1">'33053037830000'!$J$9</definedName>
    <definedName name="solver_opt" localSheetId="1" hidden="1">'33053047860000'!$J$9</definedName>
    <definedName name="solver_opt" localSheetId="2" hidden="1">'33053047870000'!$J$9</definedName>
    <definedName name="solver_opt" localSheetId="3" hidden="1">'33053060370000'!$J$9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0" hidden="1">3</definedName>
    <definedName name="solver_rel1" localSheetId="1" hidden="1">3</definedName>
    <definedName name="solver_rel1" localSheetId="2" hidden="1">3</definedName>
    <definedName name="solver_rel2" localSheetId="1" hidden="1">3</definedName>
    <definedName name="solver_rhs1" localSheetId="0" hidden="1">0.001</definedName>
    <definedName name="solver_rhs1" localSheetId="1" hidden="1">0.00001</definedName>
    <definedName name="solver_rhs1" localSheetId="2" hidden="1">0.0001</definedName>
    <definedName name="solver_rhs2" localSheetId="1" hidden="1">0.001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E37" i="5"/>
  <c r="E36" i="5" s="1"/>
  <c r="E35" i="5" s="1"/>
  <c r="E34" i="5" s="1"/>
  <c r="E33" i="5" s="1"/>
  <c r="E32" i="5" s="1"/>
  <c r="E31" i="5" s="1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5" i="5" s="1"/>
  <c r="E4" i="5" s="1"/>
  <c r="E3" i="5" s="1"/>
  <c r="E39" i="5"/>
  <c r="E38" i="5" s="1"/>
  <c r="E40" i="5"/>
  <c r="E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J5" i="5"/>
  <c r="D4" i="5"/>
  <c r="D3" i="5"/>
  <c r="D2" i="5"/>
  <c r="J5" i="4"/>
  <c r="E35" i="4"/>
  <c r="E34" i="4" s="1"/>
  <c r="E33" i="4" s="1"/>
  <c r="E32" i="4" s="1"/>
  <c r="E31" i="4" s="1"/>
  <c r="E30" i="4" s="1"/>
  <c r="E29" i="4" s="1"/>
  <c r="E28" i="4" s="1"/>
  <c r="E27" i="4" s="1"/>
  <c r="E26" i="4" s="1"/>
  <c r="E25" i="4" s="1"/>
  <c r="E24" i="4" s="1"/>
  <c r="E23" i="4" s="1"/>
  <c r="E22" i="4" s="1"/>
  <c r="E21" i="4" s="1"/>
  <c r="E20" i="4" s="1"/>
  <c r="E19" i="4" s="1"/>
  <c r="E18" i="4" s="1"/>
  <c r="E17" i="4" s="1"/>
  <c r="E16" i="4" s="1"/>
  <c r="E15" i="4" s="1"/>
  <c r="E14" i="4" s="1"/>
  <c r="E13" i="4" s="1"/>
  <c r="E12" i="4" s="1"/>
  <c r="E11" i="4" s="1"/>
  <c r="E10" i="4" s="1"/>
  <c r="E9" i="4" s="1"/>
  <c r="E8" i="4" s="1"/>
  <c r="E7" i="4" s="1"/>
  <c r="E6" i="4" s="1"/>
  <c r="E5" i="4" s="1"/>
  <c r="E4" i="4" s="1"/>
  <c r="E3" i="4" s="1"/>
  <c r="E2" i="4" s="1"/>
  <c r="M3" i="4" s="1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J5" i="3"/>
  <c r="E35" i="3"/>
  <c r="E34" i="3" s="1"/>
  <c r="E33" i="3" s="1"/>
  <c r="E32" i="3" s="1"/>
  <c r="E31" i="3" s="1"/>
  <c r="E30" i="3" s="1"/>
  <c r="E29" i="3" s="1"/>
  <c r="E28" i="3" s="1"/>
  <c r="E27" i="3" s="1"/>
  <c r="E26" i="3" s="1"/>
  <c r="E25" i="3" s="1"/>
  <c r="E24" i="3" s="1"/>
  <c r="E23" i="3" s="1"/>
  <c r="E22" i="3" s="1"/>
  <c r="E21" i="3" s="1"/>
  <c r="E20" i="3" s="1"/>
  <c r="E19" i="3" s="1"/>
  <c r="E18" i="3" s="1"/>
  <c r="E17" i="3" s="1"/>
  <c r="E16" i="3" s="1"/>
  <c r="E15" i="3" s="1"/>
  <c r="E14" i="3" s="1"/>
  <c r="E13" i="3" s="1"/>
  <c r="E12" i="3" s="1"/>
  <c r="E11" i="3" s="1"/>
  <c r="E10" i="3" s="1"/>
  <c r="E9" i="3" s="1"/>
  <c r="E8" i="3" s="1"/>
  <c r="E7" i="3" s="1"/>
  <c r="E6" i="3" s="1"/>
  <c r="E5" i="3" s="1"/>
  <c r="E4" i="3" s="1"/>
  <c r="E3" i="3" s="1"/>
  <c r="E2" i="3" s="1"/>
  <c r="M3" i="3" s="1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J5" i="1"/>
  <c r="E43" i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F23" i="5"/>
  <c r="F40" i="5"/>
  <c r="F25" i="5"/>
  <c r="F29" i="5"/>
  <c r="F33" i="5"/>
  <c r="F37" i="5"/>
  <c r="F41" i="5"/>
  <c r="F38" i="5"/>
  <c r="F27" i="5"/>
  <c r="F31" i="5"/>
  <c r="F35" i="5"/>
  <c r="F39" i="5"/>
  <c r="N5" i="5"/>
  <c r="N6" i="5"/>
  <c r="N4" i="5"/>
  <c r="N5" i="4"/>
  <c r="F4" i="4"/>
  <c r="N3" i="4"/>
  <c r="J6" i="4" s="1"/>
  <c r="F10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6" i="4"/>
  <c r="F9" i="4"/>
  <c r="F8" i="4"/>
  <c r="N6" i="4"/>
  <c r="N4" i="4"/>
  <c r="F7" i="4"/>
  <c r="F5" i="4"/>
  <c r="O3" i="4"/>
  <c r="F3" i="4"/>
  <c r="F2" i="4"/>
  <c r="N5" i="3"/>
  <c r="N3" i="3"/>
  <c r="J6" i="3" s="1"/>
  <c r="O3" i="3"/>
  <c r="N6" i="3"/>
  <c r="N4" i="3"/>
  <c r="F35" i="3"/>
  <c r="F29" i="3"/>
  <c r="F27" i="3"/>
  <c r="F25" i="3"/>
  <c r="F23" i="3"/>
  <c r="F21" i="3"/>
  <c r="F19" i="3"/>
  <c r="F17" i="3"/>
  <c r="F15" i="3"/>
  <c r="F13" i="3"/>
  <c r="F11" i="3"/>
  <c r="F9" i="3"/>
  <c r="F7" i="3"/>
  <c r="F5" i="3"/>
  <c r="F3" i="3"/>
  <c r="F34" i="3"/>
  <c r="F33" i="3"/>
  <c r="F32" i="3"/>
  <c r="F31" i="3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F4" i="3"/>
  <c r="F2" i="3"/>
  <c r="G39" i="5" l="1"/>
  <c r="G35" i="5"/>
  <c r="G31" i="5"/>
  <c r="G27" i="5"/>
  <c r="G38" i="5"/>
  <c r="G41" i="5"/>
  <c r="G37" i="5"/>
  <c r="G33" i="5"/>
  <c r="G29" i="5"/>
  <c r="G25" i="5"/>
  <c r="G40" i="5"/>
  <c r="G23" i="5"/>
  <c r="J7" i="4"/>
  <c r="G2" i="4"/>
  <c r="G3" i="4"/>
  <c r="G5" i="4"/>
  <c r="G7" i="4"/>
  <c r="G8" i="4"/>
  <c r="G9" i="4"/>
  <c r="G4" i="4"/>
  <c r="G10" i="4"/>
  <c r="G12" i="4"/>
  <c r="G14" i="4"/>
  <c r="G16" i="4"/>
  <c r="G18" i="4"/>
  <c r="G20" i="4"/>
  <c r="G22" i="4"/>
  <c r="G24" i="4"/>
  <c r="G26" i="4"/>
  <c r="G28" i="4"/>
  <c r="G30" i="4"/>
  <c r="G32" i="4"/>
  <c r="G34" i="4"/>
  <c r="G6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J7" i="3"/>
  <c r="G5" i="3"/>
  <c r="G11" i="3"/>
  <c r="G15" i="3"/>
  <c r="G21" i="3"/>
  <c r="G27" i="3"/>
  <c r="G33" i="3"/>
  <c r="G2" i="3"/>
  <c r="G8" i="3"/>
  <c r="G14" i="3"/>
  <c r="G20" i="3"/>
  <c r="G26" i="3"/>
  <c r="G32" i="3"/>
  <c r="G3" i="3"/>
  <c r="G7" i="3"/>
  <c r="G9" i="3"/>
  <c r="G13" i="3"/>
  <c r="G17" i="3"/>
  <c r="G19" i="3"/>
  <c r="G23" i="3"/>
  <c r="G25" i="3"/>
  <c r="G29" i="3"/>
  <c r="G31" i="3"/>
  <c r="G35" i="3"/>
  <c r="G4" i="3"/>
  <c r="G6" i="3"/>
  <c r="G10" i="3"/>
  <c r="G12" i="3"/>
  <c r="G16" i="3"/>
  <c r="G18" i="3"/>
  <c r="G22" i="3"/>
  <c r="G24" i="3"/>
  <c r="G28" i="3"/>
  <c r="G30" i="3"/>
  <c r="G34" i="3"/>
  <c r="E2" i="1"/>
  <c r="M4" i="1"/>
  <c r="F43" i="1"/>
  <c r="M5" i="1"/>
  <c r="F41" i="1"/>
  <c r="M6" i="1"/>
  <c r="F42" i="1"/>
  <c r="F39" i="1"/>
  <c r="F40" i="1"/>
  <c r="F36" i="5"/>
  <c r="G40" i="1" l="1"/>
  <c r="G39" i="1"/>
  <c r="G42" i="1"/>
  <c r="G41" i="1"/>
  <c r="G43" i="1"/>
  <c r="F38" i="1"/>
  <c r="G36" i="5" l="1"/>
  <c r="J9" i="4"/>
  <c r="J9" i="3"/>
  <c r="G38" i="1"/>
  <c r="F34" i="5"/>
  <c r="G34" i="5" l="1"/>
  <c r="F37" i="1"/>
  <c r="F32" i="5"/>
  <c r="G37" i="1" l="1"/>
  <c r="F36" i="1"/>
  <c r="G32" i="5" l="1"/>
  <c r="G36" i="1"/>
  <c r="F30" i="5"/>
  <c r="G30" i="5" l="1"/>
  <c r="F35" i="1"/>
  <c r="F28" i="5"/>
  <c r="G35" i="1" l="1"/>
  <c r="F34" i="1"/>
  <c r="G28" i="5" l="1"/>
  <c r="G34" i="1"/>
  <c r="F26" i="5"/>
  <c r="G26" i="5" l="1"/>
  <c r="F33" i="1"/>
  <c r="F24" i="5"/>
  <c r="G33" i="1" l="1"/>
  <c r="F32" i="1"/>
  <c r="G24" i="5" l="1"/>
  <c r="G32" i="1"/>
  <c r="F22" i="5"/>
  <c r="G22" i="5" l="1"/>
  <c r="F31" i="1"/>
  <c r="F21" i="5"/>
  <c r="G31" i="1" l="1"/>
  <c r="F30" i="1"/>
  <c r="G21" i="5" l="1"/>
  <c r="G30" i="1"/>
  <c r="F20" i="5"/>
  <c r="G20" i="5" l="1"/>
  <c r="F29" i="1"/>
  <c r="F19" i="5"/>
  <c r="G29" i="1" l="1"/>
  <c r="F28" i="1"/>
  <c r="G19" i="5" l="1"/>
  <c r="G28" i="1"/>
  <c r="F18" i="5"/>
  <c r="G18" i="5" l="1"/>
  <c r="F27" i="1"/>
  <c r="F17" i="5"/>
  <c r="G27" i="1" l="1"/>
  <c r="F26" i="1"/>
  <c r="G17" i="5" l="1"/>
  <c r="G26" i="1"/>
  <c r="F16" i="5"/>
  <c r="G16" i="5" l="1"/>
  <c r="F25" i="1"/>
  <c r="F15" i="5"/>
  <c r="G25" i="1" l="1"/>
  <c r="F24" i="1"/>
  <c r="G15" i="5" l="1"/>
  <c r="G24" i="1"/>
  <c r="F14" i="5"/>
  <c r="G14" i="5" l="1"/>
  <c r="F23" i="1"/>
  <c r="F13" i="5"/>
  <c r="G23" i="1" l="1"/>
  <c r="F22" i="1"/>
  <c r="G13" i="5" l="1"/>
  <c r="G22" i="1"/>
  <c r="F12" i="5"/>
  <c r="G12" i="5" l="1"/>
  <c r="F21" i="1"/>
  <c r="F11" i="5"/>
  <c r="G21" i="1" l="1"/>
  <c r="F20" i="1"/>
  <c r="G11" i="5" l="1"/>
  <c r="G20" i="1"/>
  <c r="F10" i="5"/>
  <c r="G10" i="5" l="1"/>
  <c r="F19" i="1"/>
  <c r="F9" i="5"/>
  <c r="G19" i="1" l="1"/>
  <c r="F18" i="1"/>
  <c r="G9" i="5" l="1"/>
  <c r="G18" i="1"/>
  <c r="F8" i="5"/>
  <c r="G8" i="5" l="1"/>
  <c r="F17" i="1"/>
  <c r="F7" i="5"/>
  <c r="G17" i="1" l="1"/>
  <c r="F16" i="1"/>
  <c r="G7" i="5" l="1"/>
  <c r="G16" i="1"/>
  <c r="F6" i="5"/>
  <c r="G6" i="5" l="1"/>
  <c r="F15" i="1"/>
  <c r="F5" i="5"/>
  <c r="G15" i="1" l="1"/>
  <c r="F14" i="1"/>
  <c r="G5" i="5" l="1"/>
  <c r="G14" i="1"/>
  <c r="F4" i="5"/>
  <c r="G4" i="5" l="1"/>
  <c r="F13" i="1"/>
  <c r="F3" i="5"/>
  <c r="G13" i="1" l="1"/>
  <c r="F12" i="1"/>
  <c r="G3" i="5" l="1"/>
  <c r="G12" i="1"/>
  <c r="F2" i="5"/>
  <c r="G2" i="5" l="1"/>
  <c r="J9" i="5" s="1"/>
  <c r="M3" i="5"/>
  <c r="F11" i="1"/>
  <c r="O3" i="5"/>
  <c r="N3" i="5"/>
  <c r="J6" i="5" s="1"/>
  <c r="G11" i="1" l="1"/>
  <c r="F10" i="1"/>
  <c r="J7" i="5" l="1"/>
  <c r="G10" i="1"/>
  <c r="F9" i="1"/>
  <c r="G9" i="1" l="1"/>
  <c r="F8" i="1"/>
  <c r="G8" i="1" l="1"/>
  <c r="F6" i="1"/>
  <c r="F7" i="1"/>
  <c r="G6" i="1" l="1"/>
  <c r="F5" i="1"/>
  <c r="G5" i="1" l="1"/>
  <c r="F4" i="1"/>
  <c r="G4" i="1" l="1"/>
  <c r="F3" i="1"/>
  <c r="G3" i="1" l="1"/>
  <c r="F2" i="1"/>
  <c r="G2" i="1" l="1"/>
  <c r="J9" i="1" s="1"/>
  <c r="L3" i="1"/>
  <c r="M3" i="1"/>
  <c r="N3" i="1"/>
  <c r="J6" i="1" s="1"/>
  <c r="J7" i="1" l="1"/>
</calcChain>
</file>

<file path=xl/sharedStrings.xml><?xml version="1.0" encoding="utf-8"?>
<sst xmlns="http://schemas.openxmlformats.org/spreadsheetml/2006/main" count="95" uniqueCount="27">
  <si>
    <t>date</t>
  </si>
  <si>
    <t>volume_oil_formation_bbls</t>
  </si>
  <si>
    <t>producing_days</t>
  </si>
  <si>
    <t>Arps Rate (t)</t>
  </si>
  <si>
    <t>Error</t>
  </si>
  <si>
    <t>qi</t>
  </si>
  <si>
    <t>Di</t>
  </si>
  <si>
    <t>b</t>
  </si>
  <si>
    <t>bbl/d</t>
  </si>
  <si>
    <t>days (t)</t>
  </si>
  <si>
    <t>rate (bbls/d)</t>
  </si>
  <si>
    <t>sum Errors</t>
  </si>
  <si>
    <t>Forecast Parameter</t>
  </si>
  <si>
    <t>Rate (q)</t>
  </si>
  <si>
    <t>D nominal decline</t>
  </si>
  <si>
    <t>bbl</t>
  </si>
  <si>
    <t>Reserves</t>
  </si>
  <si>
    <t xml:space="preserve">EUR = </t>
  </si>
  <si>
    <t>q_economic</t>
  </si>
  <si>
    <t>Np</t>
  </si>
  <si>
    <t>error sum</t>
  </si>
  <si>
    <t>forecast parameters</t>
  </si>
  <si>
    <t>time (d)</t>
  </si>
  <si>
    <t>rate (q)</t>
  </si>
  <si>
    <t>D nom.</t>
  </si>
  <si>
    <t xml:space="preserve">Based on the data that I have collected in the previous 4 decline curves, I believe that Enerplus Resources (curves 2&amp;3) did the best job drilling productive wells and maintaining high flowrates. This allowed for the best forecasts and EUR calculations.  </t>
  </si>
  <si>
    <t>* Disclaimer: I have not gotten to the history matching chapter of my reservoir class yet, so I tried my best to learn how to do decline curves through various online resources. I know I will improve dramatically once we go over the chapter. I also understand that I wasn't able to do exactly what was asked, but I tried my best! I'm sure that there's some trick on excel that would've allowed me to complete all of the 2015 wells in a much faster manner. Also, question 1 just completely confused me and wasn't able to put together anything meaningful to show for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</si>
</sst>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9" fontId="0" fillId="0" borderId="0" xfId="1" applyFont="1"/>
    <xf numFmtId="9" fontId="0" fillId="0" borderId="0" xfId="0" applyNumberFormat="1"/>
    <xf numFmtId="10" fontId="0" fillId="0" borderId="0" xfId="1" applyNumberFormat="1" applyFont="1"/>
    <xf numFmtId="0" fontId="0" fillId="2" borderId="1" xfId="0" applyFill="1" applyBorder="1" applyAlignment="1">
      <alignment horizontal="right"/>
    </xf>
    <xf numFmtId="0" fontId="0" fillId="2" borderId="2" xfId="0" applyFill="1" applyBorder="1"/>
    <xf numFmtId="0" fontId="0" fillId="2" borderId="3" xfId="0" applyFill="1" applyBorder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Decline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Decline Curve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'33053037830000'!$E$2:$E$43</c:f>
              <c:numCache>
                <c:formatCode>General</c:formatCode>
                <c:ptCount val="42"/>
                <c:pt idx="0">
                  <c:v>1308</c:v>
                </c:pt>
                <c:pt idx="1">
                  <c:v>1277</c:v>
                </c:pt>
                <c:pt idx="2">
                  <c:v>1246</c:v>
                </c:pt>
                <c:pt idx="3">
                  <c:v>1216</c:v>
                </c:pt>
                <c:pt idx="4">
                  <c:v>1185</c:v>
                </c:pt>
                <c:pt idx="5">
                  <c:v>1155</c:v>
                </c:pt>
                <c:pt idx="6">
                  <c:v>1124</c:v>
                </c:pt>
                <c:pt idx="7">
                  <c:v>1096</c:v>
                </c:pt>
                <c:pt idx="8">
                  <c:v>1034</c:v>
                </c:pt>
                <c:pt idx="9">
                  <c:v>1004</c:v>
                </c:pt>
                <c:pt idx="10">
                  <c:v>973</c:v>
                </c:pt>
                <c:pt idx="11">
                  <c:v>943</c:v>
                </c:pt>
                <c:pt idx="12">
                  <c:v>912</c:v>
                </c:pt>
                <c:pt idx="13">
                  <c:v>881</c:v>
                </c:pt>
                <c:pt idx="14">
                  <c:v>851</c:v>
                </c:pt>
                <c:pt idx="15">
                  <c:v>820</c:v>
                </c:pt>
                <c:pt idx="16">
                  <c:v>790</c:v>
                </c:pt>
                <c:pt idx="17">
                  <c:v>759</c:v>
                </c:pt>
                <c:pt idx="18">
                  <c:v>731</c:v>
                </c:pt>
                <c:pt idx="19">
                  <c:v>700</c:v>
                </c:pt>
                <c:pt idx="20">
                  <c:v>669</c:v>
                </c:pt>
                <c:pt idx="21">
                  <c:v>639</c:v>
                </c:pt>
                <c:pt idx="22">
                  <c:v>608</c:v>
                </c:pt>
                <c:pt idx="23">
                  <c:v>578</c:v>
                </c:pt>
                <c:pt idx="24">
                  <c:v>547</c:v>
                </c:pt>
                <c:pt idx="25">
                  <c:v>516</c:v>
                </c:pt>
                <c:pt idx="26">
                  <c:v>486</c:v>
                </c:pt>
                <c:pt idx="27">
                  <c:v>455</c:v>
                </c:pt>
                <c:pt idx="28">
                  <c:v>425</c:v>
                </c:pt>
                <c:pt idx="29">
                  <c:v>394</c:v>
                </c:pt>
                <c:pt idx="30">
                  <c:v>365</c:v>
                </c:pt>
                <c:pt idx="31">
                  <c:v>334</c:v>
                </c:pt>
                <c:pt idx="32">
                  <c:v>303</c:v>
                </c:pt>
                <c:pt idx="33">
                  <c:v>273</c:v>
                </c:pt>
                <c:pt idx="34">
                  <c:v>242</c:v>
                </c:pt>
                <c:pt idx="35">
                  <c:v>212</c:v>
                </c:pt>
                <c:pt idx="36">
                  <c:v>181</c:v>
                </c:pt>
                <c:pt idx="37">
                  <c:v>150</c:v>
                </c:pt>
                <c:pt idx="38">
                  <c:v>120</c:v>
                </c:pt>
                <c:pt idx="39">
                  <c:v>89</c:v>
                </c:pt>
                <c:pt idx="40">
                  <c:v>59</c:v>
                </c:pt>
                <c:pt idx="41">
                  <c:v>28</c:v>
                </c:pt>
              </c:numCache>
            </c:numRef>
          </c:xVal>
          <c:yVal>
            <c:numRef>
              <c:f>'33053037830000'!$D$2:$D$43</c:f>
              <c:numCache>
                <c:formatCode>General</c:formatCode>
                <c:ptCount val="42"/>
                <c:pt idx="0">
                  <c:v>35.12903225806452</c:v>
                </c:pt>
                <c:pt idx="1">
                  <c:v>59.161290322580648</c:v>
                </c:pt>
                <c:pt idx="2">
                  <c:v>67.545454545454547</c:v>
                </c:pt>
                <c:pt idx="3">
                  <c:v>59.133333333333333</c:v>
                </c:pt>
                <c:pt idx="4">
                  <c:v>3.3636363636363638</c:v>
                </c:pt>
                <c:pt idx="5">
                  <c:v>0</c:v>
                </c:pt>
                <c:pt idx="6">
                  <c:v>22.333333333333332</c:v>
                </c:pt>
                <c:pt idx="7">
                  <c:v>153.35714285714286</c:v>
                </c:pt>
                <c:pt idx="8">
                  <c:v>221.3</c:v>
                </c:pt>
                <c:pt idx="9">
                  <c:v>236.04</c:v>
                </c:pt>
                <c:pt idx="10">
                  <c:v>31</c:v>
                </c:pt>
                <c:pt idx="11">
                  <c:v>160.13793103448276</c:v>
                </c:pt>
                <c:pt idx="12">
                  <c:v>153.29032258064515</c:v>
                </c:pt>
                <c:pt idx="13">
                  <c:v>168.73333333333332</c:v>
                </c:pt>
                <c:pt idx="14">
                  <c:v>189.96774193548387</c:v>
                </c:pt>
                <c:pt idx="15">
                  <c:v>177.2962962962963</c:v>
                </c:pt>
                <c:pt idx="16">
                  <c:v>202.96666666666667</c:v>
                </c:pt>
                <c:pt idx="17">
                  <c:v>271.16000000000003</c:v>
                </c:pt>
                <c:pt idx="18">
                  <c:v>176.2258064516129</c:v>
                </c:pt>
                <c:pt idx="19">
                  <c:v>120.15384615384616</c:v>
                </c:pt>
                <c:pt idx="20">
                  <c:v>205.92857142857142</c:v>
                </c:pt>
                <c:pt idx="21">
                  <c:v>236.83870967741936</c:v>
                </c:pt>
                <c:pt idx="22">
                  <c:v>267.53333333333336</c:v>
                </c:pt>
                <c:pt idx="23">
                  <c:v>282.51612903225805</c:v>
                </c:pt>
                <c:pt idx="24">
                  <c:v>200.32258064516128</c:v>
                </c:pt>
                <c:pt idx="25">
                  <c:v>305.03333333333336</c:v>
                </c:pt>
                <c:pt idx="26">
                  <c:v>258.67741935483872</c:v>
                </c:pt>
                <c:pt idx="27">
                  <c:v>277.10000000000002</c:v>
                </c:pt>
                <c:pt idx="28">
                  <c:v>292.25806451612902</c:v>
                </c:pt>
                <c:pt idx="29">
                  <c:v>284.82758620689657</c:v>
                </c:pt>
                <c:pt idx="30">
                  <c:v>280.23333333333335</c:v>
                </c:pt>
                <c:pt idx="31">
                  <c:v>275.64516129032256</c:v>
                </c:pt>
                <c:pt idx="32">
                  <c:v>311.60000000000002</c:v>
                </c:pt>
                <c:pt idx="33">
                  <c:v>415.2962962962963</c:v>
                </c:pt>
                <c:pt idx="34">
                  <c:v>604</c:v>
                </c:pt>
                <c:pt idx="35">
                  <c:v>643.51612903225805</c:v>
                </c:pt>
                <c:pt idx="36">
                  <c:v>784.28571428571433</c:v>
                </c:pt>
                <c:pt idx="37">
                  <c:v>938.3</c:v>
                </c:pt>
                <c:pt idx="38">
                  <c:v>933.65517241379314</c:v>
                </c:pt>
                <c:pt idx="39">
                  <c:v>993.20689655172418</c:v>
                </c:pt>
                <c:pt idx="40">
                  <c:v>1291.25</c:v>
                </c:pt>
                <c:pt idx="41">
                  <c:v>1344.25</c:v>
                </c:pt>
              </c:numCache>
            </c:numRef>
          </c:yVal>
          <c:smooth val="0"/>
        </c:ser>
        <c:ser>
          <c:idx val="1"/>
          <c:order val="1"/>
          <c:tx>
            <c:v>ArpsRate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'33053037830000'!$E$2:$E$43</c:f>
              <c:numCache>
                <c:formatCode>General</c:formatCode>
                <c:ptCount val="42"/>
                <c:pt idx="0">
                  <c:v>1308</c:v>
                </c:pt>
                <c:pt idx="1">
                  <c:v>1277</c:v>
                </c:pt>
                <c:pt idx="2">
                  <c:v>1246</c:v>
                </c:pt>
                <c:pt idx="3">
                  <c:v>1216</c:v>
                </c:pt>
                <c:pt idx="4">
                  <c:v>1185</c:v>
                </c:pt>
                <c:pt idx="5">
                  <c:v>1155</c:v>
                </c:pt>
                <c:pt idx="6">
                  <c:v>1124</c:v>
                </c:pt>
                <c:pt idx="7">
                  <c:v>1096</c:v>
                </c:pt>
                <c:pt idx="8">
                  <c:v>1034</c:v>
                </c:pt>
                <c:pt idx="9">
                  <c:v>1004</c:v>
                </c:pt>
                <c:pt idx="10">
                  <c:v>973</c:v>
                </c:pt>
                <c:pt idx="11">
                  <c:v>943</c:v>
                </c:pt>
                <c:pt idx="12">
                  <c:v>912</c:v>
                </c:pt>
                <c:pt idx="13">
                  <c:v>881</c:v>
                </c:pt>
                <c:pt idx="14">
                  <c:v>851</c:v>
                </c:pt>
                <c:pt idx="15">
                  <c:v>820</c:v>
                </c:pt>
                <c:pt idx="16">
                  <c:v>790</c:v>
                </c:pt>
                <c:pt idx="17">
                  <c:v>759</c:v>
                </c:pt>
                <c:pt idx="18">
                  <c:v>731</c:v>
                </c:pt>
                <c:pt idx="19">
                  <c:v>700</c:v>
                </c:pt>
                <c:pt idx="20">
                  <c:v>669</c:v>
                </c:pt>
                <c:pt idx="21">
                  <c:v>639</c:v>
                </c:pt>
                <c:pt idx="22">
                  <c:v>608</c:v>
                </c:pt>
                <c:pt idx="23">
                  <c:v>578</c:v>
                </c:pt>
                <c:pt idx="24">
                  <c:v>547</c:v>
                </c:pt>
                <c:pt idx="25">
                  <c:v>516</c:v>
                </c:pt>
                <c:pt idx="26">
                  <c:v>486</c:v>
                </c:pt>
                <c:pt idx="27">
                  <c:v>455</c:v>
                </c:pt>
                <c:pt idx="28">
                  <c:v>425</c:v>
                </c:pt>
                <c:pt idx="29">
                  <c:v>394</c:v>
                </c:pt>
                <c:pt idx="30">
                  <c:v>365</c:v>
                </c:pt>
                <c:pt idx="31">
                  <c:v>334</c:v>
                </c:pt>
                <c:pt idx="32">
                  <c:v>303</c:v>
                </c:pt>
                <c:pt idx="33">
                  <c:v>273</c:v>
                </c:pt>
                <c:pt idx="34">
                  <c:v>242</c:v>
                </c:pt>
                <c:pt idx="35">
                  <c:v>212</c:v>
                </c:pt>
                <c:pt idx="36">
                  <c:v>181</c:v>
                </c:pt>
                <c:pt idx="37">
                  <c:v>150</c:v>
                </c:pt>
                <c:pt idx="38">
                  <c:v>120</c:v>
                </c:pt>
                <c:pt idx="39">
                  <c:v>89</c:v>
                </c:pt>
                <c:pt idx="40">
                  <c:v>59</c:v>
                </c:pt>
                <c:pt idx="41">
                  <c:v>28</c:v>
                </c:pt>
              </c:numCache>
            </c:numRef>
          </c:xVal>
          <c:yVal>
            <c:numRef>
              <c:f>'33053037830000'!$F$2:$F$43</c:f>
              <c:numCache>
                <c:formatCode>General</c:formatCode>
                <c:ptCount val="42"/>
                <c:pt idx="0">
                  <c:v>29.813593033214978</c:v>
                </c:pt>
                <c:pt idx="1">
                  <c:v>32.707526414020514</c:v>
                </c:pt>
                <c:pt idx="2">
                  <c:v>35.882674893646389</c:v>
                </c:pt>
                <c:pt idx="3">
                  <c:v>39.248900790666411</c:v>
                </c:pt>
                <c:pt idx="4">
                  <c:v>43.059793703862233</c:v>
                </c:pt>
                <c:pt idx="5">
                  <c:v>47.100089725278245</c:v>
                </c:pt>
                <c:pt idx="6">
                  <c:v>51.67417130103145</c:v>
                </c:pt>
                <c:pt idx="7">
                  <c:v>56.18665522077508</c:v>
                </c:pt>
                <c:pt idx="8">
                  <c:v>67.632382559345004</c:v>
                </c:pt>
                <c:pt idx="9">
                  <c:v>73.981318517164212</c:v>
                </c:pt>
                <c:pt idx="10">
                  <c:v>81.169343507560299</c:v>
                </c:pt>
                <c:pt idx="11">
                  <c:v>88.790504607822157</c:v>
                </c:pt>
                <c:pt idx="12">
                  <c:v>97.419038607010137</c:v>
                </c:pt>
                <c:pt idx="13">
                  <c:v>106.88700059912499</c:v>
                </c:pt>
                <c:pt idx="14">
                  <c:v>116.92573541372266</c:v>
                </c:pt>
                <c:pt idx="15">
                  <c:v>128.29168642577181</c:v>
                </c:pt>
                <c:pt idx="16">
                  <c:v>140.34303074033423</c:v>
                </c:pt>
                <c:pt idx="17">
                  <c:v>153.98790506136712</c:v>
                </c:pt>
                <c:pt idx="18">
                  <c:v>167.45032489333482</c:v>
                </c:pt>
                <c:pt idx="19">
                  <c:v>183.73372130331609</c:v>
                </c:pt>
                <c:pt idx="20">
                  <c:v>201.60230276006664</c:v>
                </c:pt>
                <c:pt idx="21">
                  <c:v>220.54918348882003</c:v>
                </c:pt>
                <c:pt idx="22">
                  <c:v>242.0022667212919</c:v>
                </c:pt>
                <c:pt idx="23">
                  <c:v>264.75033957880095</c:v>
                </c:pt>
                <c:pt idx="24">
                  <c:v>290.50784877131309</c:v>
                </c:pt>
                <c:pt idx="25">
                  <c:v>318.77404907622525</c:v>
                </c:pt>
                <c:pt idx="26">
                  <c:v>348.74725940757429</c:v>
                </c:pt>
                <c:pt idx="27">
                  <c:v>382.68660494449256</c:v>
                </c:pt>
                <c:pt idx="28">
                  <c:v>418.67616576738226</c:v>
                </c:pt>
                <c:pt idx="29">
                  <c:v>459.42864289045644</c:v>
                </c:pt>
                <c:pt idx="30">
                  <c:v>501.13959749288227</c:v>
                </c:pt>
                <c:pt idx="31">
                  <c:v>549.92796211891482</c:v>
                </c:pt>
                <c:pt idx="32">
                  <c:v>603.47131906510936</c:v>
                </c:pt>
                <c:pt idx="33">
                  <c:v>660.25149948592559</c:v>
                </c:pt>
                <c:pt idx="34">
                  <c:v>724.54874130783844</c:v>
                </c:pt>
                <c:pt idx="35">
                  <c:v>792.734044986463</c:v>
                </c:pt>
                <c:pt idx="36">
                  <c:v>869.94761389518555</c:v>
                </c:pt>
                <c:pt idx="37">
                  <c:v>954.69015652018413</c:v>
                </c:pt>
                <c:pt idx="38">
                  <c:v>1044.5593587662499</c:v>
                </c:pt>
                <c:pt idx="39">
                  <c:v>1146.3305146870032</c:v>
                </c:pt>
                <c:pt idx="40">
                  <c:v>1254.2603150639038</c:v>
                </c:pt>
                <c:pt idx="41">
                  <c:v>1376.4859982964654</c:v>
                </c:pt>
              </c:numCache>
            </c:numRef>
          </c:yVal>
          <c:smooth val="0"/>
        </c:ser>
        <c:ser>
          <c:idx val="2"/>
          <c:order val="2"/>
          <c:tx>
            <c:v>Forecast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'33053037830000'!$L$3:$L$6</c:f>
              <c:numCache>
                <c:formatCode>General</c:formatCode>
                <c:ptCount val="4"/>
                <c:pt idx="0">
                  <c:v>1308</c:v>
                </c:pt>
                <c:pt idx="1">
                  <c:v>1200</c:v>
                </c:pt>
                <c:pt idx="2">
                  <c:v>1500</c:v>
                </c:pt>
                <c:pt idx="3">
                  <c:v>1800</c:v>
                </c:pt>
              </c:numCache>
            </c:numRef>
          </c:xVal>
          <c:yVal>
            <c:numRef>
              <c:f>'33053037830000'!$M$3:$M$6</c:f>
              <c:numCache>
                <c:formatCode>General</c:formatCode>
                <c:ptCount val="4"/>
                <c:pt idx="0">
                  <c:v>29.813593033214978</c:v>
                </c:pt>
                <c:pt idx="1">
                  <c:v>41.171658313898476</c:v>
                </c:pt>
                <c:pt idx="2">
                  <c:v>16.800024620532437</c:v>
                </c:pt>
                <c:pt idx="3">
                  <c:v>6.8607265583824866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65928"/>
        <c:axId val="494663968"/>
      </c:scatterChart>
      <c:valAx>
        <c:axId val="49466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(days)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3968"/>
        <c:crosses val="autoZero"/>
        <c:crossBetween val="midCat"/>
      </c:valAx>
      <c:valAx>
        <c:axId val="49466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Production</a:t>
                </a:r>
                <a:r>
                  <a:rPr lang="en-US" baseline="0"/>
                  <a:t> rate (BBL/D)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'33053047860000'!$E$2:$E$35</c:f>
              <c:numCache>
                <c:formatCode>General</c:formatCode>
                <c:ptCount val="34"/>
                <c:pt idx="0">
                  <c:v>1030</c:v>
                </c:pt>
                <c:pt idx="1">
                  <c:v>1004</c:v>
                </c:pt>
                <c:pt idx="2">
                  <c:v>973</c:v>
                </c:pt>
                <c:pt idx="3">
                  <c:v>943</c:v>
                </c:pt>
                <c:pt idx="4">
                  <c:v>912</c:v>
                </c:pt>
                <c:pt idx="5">
                  <c:v>882</c:v>
                </c:pt>
                <c:pt idx="6">
                  <c:v>851</c:v>
                </c:pt>
                <c:pt idx="7">
                  <c:v>823</c:v>
                </c:pt>
                <c:pt idx="8">
                  <c:v>792</c:v>
                </c:pt>
                <c:pt idx="9">
                  <c:v>761</c:v>
                </c:pt>
                <c:pt idx="10">
                  <c:v>731</c:v>
                </c:pt>
                <c:pt idx="11">
                  <c:v>700</c:v>
                </c:pt>
                <c:pt idx="12">
                  <c:v>670</c:v>
                </c:pt>
                <c:pt idx="13">
                  <c:v>639</c:v>
                </c:pt>
                <c:pt idx="14">
                  <c:v>608</c:v>
                </c:pt>
                <c:pt idx="15">
                  <c:v>578</c:v>
                </c:pt>
                <c:pt idx="16">
                  <c:v>547</c:v>
                </c:pt>
                <c:pt idx="17">
                  <c:v>517</c:v>
                </c:pt>
                <c:pt idx="18">
                  <c:v>486</c:v>
                </c:pt>
                <c:pt idx="19">
                  <c:v>458</c:v>
                </c:pt>
                <c:pt idx="20">
                  <c:v>427</c:v>
                </c:pt>
                <c:pt idx="21">
                  <c:v>396</c:v>
                </c:pt>
                <c:pt idx="22">
                  <c:v>366</c:v>
                </c:pt>
                <c:pt idx="23">
                  <c:v>335</c:v>
                </c:pt>
                <c:pt idx="24">
                  <c:v>305</c:v>
                </c:pt>
                <c:pt idx="25">
                  <c:v>274</c:v>
                </c:pt>
                <c:pt idx="26">
                  <c:v>243</c:v>
                </c:pt>
                <c:pt idx="27">
                  <c:v>213</c:v>
                </c:pt>
                <c:pt idx="28">
                  <c:v>182</c:v>
                </c:pt>
                <c:pt idx="29">
                  <c:v>152</c:v>
                </c:pt>
                <c:pt idx="30">
                  <c:v>121</c:v>
                </c:pt>
                <c:pt idx="31">
                  <c:v>92</c:v>
                </c:pt>
                <c:pt idx="32">
                  <c:v>61</c:v>
                </c:pt>
                <c:pt idx="33">
                  <c:v>30</c:v>
                </c:pt>
              </c:numCache>
            </c:numRef>
          </c:xVal>
          <c:yVal>
            <c:numRef>
              <c:f>'33053047860000'!$D$2:$D$35</c:f>
              <c:numCache>
                <c:formatCode>General</c:formatCode>
                <c:ptCount val="34"/>
                <c:pt idx="0">
                  <c:v>142.80769230769232</c:v>
                </c:pt>
                <c:pt idx="1">
                  <c:v>145.06451612903226</c:v>
                </c:pt>
                <c:pt idx="2">
                  <c:v>172.16666666666666</c:v>
                </c:pt>
                <c:pt idx="3">
                  <c:v>160.38709677419354</c:v>
                </c:pt>
                <c:pt idx="4">
                  <c:v>183.66666666666666</c:v>
                </c:pt>
                <c:pt idx="5">
                  <c:v>196.8</c:v>
                </c:pt>
                <c:pt idx="6">
                  <c:v>227.96428571428572</c:v>
                </c:pt>
                <c:pt idx="7">
                  <c:v>211</c:v>
                </c:pt>
                <c:pt idx="8">
                  <c:v>225.29032258064515</c:v>
                </c:pt>
                <c:pt idx="9">
                  <c:v>229.51724137931035</c:v>
                </c:pt>
                <c:pt idx="10">
                  <c:v>164.36363636363637</c:v>
                </c:pt>
                <c:pt idx="11">
                  <c:v>179.96666666666667</c:v>
                </c:pt>
                <c:pt idx="12">
                  <c:v>193.09677419354838</c:v>
                </c:pt>
                <c:pt idx="13">
                  <c:v>152.32258064516128</c:v>
                </c:pt>
                <c:pt idx="14">
                  <c:v>154.26666666666668</c:v>
                </c:pt>
                <c:pt idx="15">
                  <c:v>184.7741935483871</c:v>
                </c:pt>
                <c:pt idx="16">
                  <c:v>156.80000000000001</c:v>
                </c:pt>
                <c:pt idx="17">
                  <c:v>265.25925925925924</c:v>
                </c:pt>
                <c:pt idx="18">
                  <c:v>239.77777777777777</c:v>
                </c:pt>
                <c:pt idx="19">
                  <c:v>317.06451612903226</c:v>
                </c:pt>
                <c:pt idx="20">
                  <c:v>312.31034482758622</c:v>
                </c:pt>
                <c:pt idx="21">
                  <c:v>362.5</c:v>
                </c:pt>
                <c:pt idx="22">
                  <c:v>391.45161290322579</c:v>
                </c:pt>
                <c:pt idx="23">
                  <c:v>373.33333333333331</c:v>
                </c:pt>
                <c:pt idx="24">
                  <c:v>482.16666666666669</c:v>
                </c:pt>
                <c:pt idx="25">
                  <c:v>505.71428571428572</c:v>
                </c:pt>
                <c:pt idx="26">
                  <c:v>455.08695652173913</c:v>
                </c:pt>
                <c:pt idx="27">
                  <c:v>571.88461538461536</c:v>
                </c:pt>
                <c:pt idx="28">
                  <c:v>630.41379310344826</c:v>
                </c:pt>
                <c:pt idx="29">
                  <c:v>676.77419354838707</c:v>
                </c:pt>
                <c:pt idx="30">
                  <c:v>746.93103448275861</c:v>
                </c:pt>
                <c:pt idx="31">
                  <c:v>916.16666666666663</c:v>
                </c:pt>
                <c:pt idx="32">
                  <c:v>1088.9354838709678</c:v>
                </c:pt>
                <c:pt idx="33">
                  <c:v>1799.3076923076924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'33053047860000'!$E$2:$E$35</c:f>
              <c:numCache>
                <c:formatCode>General</c:formatCode>
                <c:ptCount val="34"/>
                <c:pt idx="0">
                  <c:v>1030</c:v>
                </c:pt>
                <c:pt idx="1">
                  <c:v>1004</c:v>
                </c:pt>
                <c:pt idx="2">
                  <c:v>973</c:v>
                </c:pt>
                <c:pt idx="3">
                  <c:v>943</c:v>
                </c:pt>
                <c:pt idx="4">
                  <c:v>912</c:v>
                </c:pt>
                <c:pt idx="5">
                  <c:v>882</c:v>
                </c:pt>
                <c:pt idx="6">
                  <c:v>851</c:v>
                </c:pt>
                <c:pt idx="7">
                  <c:v>823</c:v>
                </c:pt>
                <c:pt idx="8">
                  <c:v>792</c:v>
                </c:pt>
                <c:pt idx="9">
                  <c:v>761</c:v>
                </c:pt>
                <c:pt idx="10">
                  <c:v>731</c:v>
                </c:pt>
                <c:pt idx="11">
                  <c:v>700</c:v>
                </c:pt>
                <c:pt idx="12">
                  <c:v>670</c:v>
                </c:pt>
                <c:pt idx="13">
                  <c:v>639</c:v>
                </c:pt>
                <c:pt idx="14">
                  <c:v>608</c:v>
                </c:pt>
                <c:pt idx="15">
                  <c:v>578</c:v>
                </c:pt>
                <c:pt idx="16">
                  <c:v>547</c:v>
                </c:pt>
                <c:pt idx="17">
                  <c:v>517</c:v>
                </c:pt>
                <c:pt idx="18">
                  <c:v>486</c:v>
                </c:pt>
                <c:pt idx="19">
                  <c:v>458</c:v>
                </c:pt>
                <c:pt idx="20">
                  <c:v>427</c:v>
                </c:pt>
                <c:pt idx="21">
                  <c:v>396</c:v>
                </c:pt>
                <c:pt idx="22">
                  <c:v>366</c:v>
                </c:pt>
                <c:pt idx="23">
                  <c:v>335</c:v>
                </c:pt>
                <c:pt idx="24">
                  <c:v>305</c:v>
                </c:pt>
                <c:pt idx="25">
                  <c:v>274</c:v>
                </c:pt>
                <c:pt idx="26">
                  <c:v>243</c:v>
                </c:pt>
                <c:pt idx="27">
                  <c:v>213</c:v>
                </c:pt>
                <c:pt idx="28">
                  <c:v>182</c:v>
                </c:pt>
                <c:pt idx="29">
                  <c:v>152</c:v>
                </c:pt>
                <c:pt idx="30">
                  <c:v>121</c:v>
                </c:pt>
                <c:pt idx="31">
                  <c:v>92</c:v>
                </c:pt>
                <c:pt idx="32">
                  <c:v>61</c:v>
                </c:pt>
                <c:pt idx="33">
                  <c:v>30</c:v>
                </c:pt>
              </c:numCache>
            </c:numRef>
          </c:xVal>
          <c:yVal>
            <c:numRef>
              <c:f>'33053047860000'!$F$2:$F$35</c:f>
              <c:numCache>
                <c:formatCode>General</c:formatCode>
                <c:ptCount val="34"/>
                <c:pt idx="0">
                  <c:v>130.66231376242428</c:v>
                </c:pt>
                <c:pt idx="1">
                  <c:v>134.6707369568104</c:v>
                </c:pt>
                <c:pt idx="2">
                  <c:v>139.73319405728333</c:v>
                </c:pt>
                <c:pt idx="3">
                  <c:v>144.9513499901804</c:v>
                </c:pt>
                <c:pt idx="4">
                  <c:v>150.70452935183027</c:v>
                </c:pt>
                <c:pt idx="5">
                  <c:v>156.65546222478255</c:v>
                </c:pt>
                <c:pt idx="6">
                  <c:v>163.24090182172398</c:v>
                </c:pt>
                <c:pt idx="7">
                  <c:v>169.60833240524079</c:v>
                </c:pt>
                <c:pt idx="8">
                  <c:v>177.17086589554529</c:v>
                </c:pt>
                <c:pt idx="9">
                  <c:v>185.33071930737367</c:v>
                </c:pt>
                <c:pt idx="10">
                  <c:v>193.8611067527651</c:v>
                </c:pt>
                <c:pt idx="11">
                  <c:v>203.40823682347994</c:v>
                </c:pt>
                <c:pt idx="12">
                  <c:v>213.44206870083826</c:v>
                </c:pt>
                <c:pt idx="13">
                  <c:v>224.73595652723483</c:v>
                </c:pt>
                <c:pt idx="14">
                  <c:v>237.09496366626595</c:v>
                </c:pt>
                <c:pt idx="15">
                  <c:v>250.20876553213222</c:v>
                </c:pt>
                <c:pt idx="16">
                  <c:v>265.12236339924601</c:v>
                </c:pt>
                <c:pt idx="17">
                  <c:v>281.06846390097434</c:v>
                </c:pt>
                <c:pt idx="18">
                  <c:v>299.35469502787828</c:v>
                </c:pt>
                <c:pt idx="19">
                  <c:v>317.70067234870601</c:v>
                </c:pt>
                <c:pt idx="20">
                  <c:v>340.37749064531732</c:v>
                </c:pt>
                <c:pt idx="21">
                  <c:v>365.97925938725052</c:v>
                </c:pt>
                <c:pt idx="22">
                  <c:v>394.07109904838933</c:v>
                </c:pt>
                <c:pt idx="23">
                  <c:v>427.21841393922557</c:v>
                </c:pt>
                <c:pt idx="24">
                  <c:v>464.12877192001315</c:v>
                </c:pt>
                <c:pt idx="25">
                  <c:v>508.40757296006683</c:v>
                </c:pt>
                <c:pt idx="26">
                  <c:v>560.45999618558938</c:v>
                </c:pt>
                <c:pt idx="27">
                  <c:v>620.1941724518033</c:v>
                </c:pt>
                <c:pt idx="28">
                  <c:v>694.37193870823671</c:v>
                </c:pt>
                <c:pt idx="29">
                  <c:v>781.94070999011296</c:v>
                </c:pt>
                <c:pt idx="30">
                  <c:v>894.3716866573036</c:v>
                </c:pt>
                <c:pt idx="31">
                  <c:v>1027.2823795962963</c:v>
                </c:pt>
                <c:pt idx="32">
                  <c:v>1211.6399052235354</c:v>
                </c:pt>
                <c:pt idx="33">
                  <c:v>1461.0445956345773</c:v>
                </c:pt>
              </c:numCache>
            </c:numRef>
          </c:yVal>
          <c:smooth val="0"/>
        </c:ser>
        <c:ser>
          <c:idx val="2"/>
          <c:order val="2"/>
          <c:tx>
            <c:v>forcast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'33053047860000'!$M$3:$M$6</c:f>
              <c:numCache>
                <c:formatCode>General</c:formatCode>
                <c:ptCount val="4"/>
                <c:pt idx="0">
                  <c:v>1030</c:v>
                </c:pt>
                <c:pt idx="1">
                  <c:v>1200</c:v>
                </c:pt>
                <c:pt idx="2">
                  <c:v>1500</c:v>
                </c:pt>
                <c:pt idx="3">
                  <c:v>1800</c:v>
                </c:pt>
              </c:numCache>
            </c:numRef>
          </c:xVal>
          <c:yVal>
            <c:numRef>
              <c:f>'33053047860000'!$N$3:$N$6</c:f>
              <c:numCache>
                <c:formatCode>General</c:formatCode>
                <c:ptCount val="4"/>
                <c:pt idx="0">
                  <c:v>130.66231376242428</c:v>
                </c:pt>
                <c:pt idx="1">
                  <c:v>108.81724287230068</c:v>
                </c:pt>
                <c:pt idx="2">
                  <c:v>82.741251910894647</c:v>
                </c:pt>
                <c:pt idx="3">
                  <c:v>65.807795146121109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93456"/>
        <c:axId val="424693848"/>
      </c:scatterChart>
      <c:valAx>
        <c:axId val="42469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693848"/>
        <c:crosses val="autoZero"/>
        <c:crossBetween val="midCat"/>
      </c:valAx>
      <c:valAx>
        <c:axId val="4246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69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'33053047870000'!$E$2:$E$35</c:f>
              <c:numCache>
                <c:formatCode>General</c:formatCode>
                <c:ptCount val="34"/>
                <c:pt idx="0">
                  <c:v>1035</c:v>
                </c:pt>
                <c:pt idx="1">
                  <c:v>1004</c:v>
                </c:pt>
                <c:pt idx="2">
                  <c:v>973</c:v>
                </c:pt>
                <c:pt idx="3">
                  <c:v>943</c:v>
                </c:pt>
                <c:pt idx="4">
                  <c:v>912</c:v>
                </c:pt>
                <c:pt idx="5">
                  <c:v>882</c:v>
                </c:pt>
                <c:pt idx="6">
                  <c:v>851</c:v>
                </c:pt>
                <c:pt idx="7">
                  <c:v>823</c:v>
                </c:pt>
                <c:pt idx="8">
                  <c:v>792</c:v>
                </c:pt>
                <c:pt idx="9">
                  <c:v>761</c:v>
                </c:pt>
                <c:pt idx="10">
                  <c:v>731</c:v>
                </c:pt>
                <c:pt idx="11">
                  <c:v>700</c:v>
                </c:pt>
                <c:pt idx="12">
                  <c:v>670</c:v>
                </c:pt>
                <c:pt idx="13">
                  <c:v>639</c:v>
                </c:pt>
                <c:pt idx="14">
                  <c:v>608</c:v>
                </c:pt>
                <c:pt idx="15">
                  <c:v>578</c:v>
                </c:pt>
                <c:pt idx="16">
                  <c:v>547</c:v>
                </c:pt>
                <c:pt idx="17">
                  <c:v>517</c:v>
                </c:pt>
                <c:pt idx="18">
                  <c:v>486</c:v>
                </c:pt>
                <c:pt idx="19">
                  <c:v>458</c:v>
                </c:pt>
                <c:pt idx="20">
                  <c:v>427</c:v>
                </c:pt>
                <c:pt idx="21">
                  <c:v>396</c:v>
                </c:pt>
                <c:pt idx="22">
                  <c:v>366</c:v>
                </c:pt>
                <c:pt idx="23">
                  <c:v>335</c:v>
                </c:pt>
                <c:pt idx="24">
                  <c:v>305</c:v>
                </c:pt>
                <c:pt idx="25">
                  <c:v>274</c:v>
                </c:pt>
                <c:pt idx="26">
                  <c:v>243</c:v>
                </c:pt>
                <c:pt idx="27">
                  <c:v>213</c:v>
                </c:pt>
                <c:pt idx="28">
                  <c:v>182</c:v>
                </c:pt>
                <c:pt idx="29">
                  <c:v>152</c:v>
                </c:pt>
                <c:pt idx="30">
                  <c:v>121</c:v>
                </c:pt>
                <c:pt idx="31">
                  <c:v>92</c:v>
                </c:pt>
                <c:pt idx="32">
                  <c:v>61</c:v>
                </c:pt>
                <c:pt idx="33">
                  <c:v>30</c:v>
                </c:pt>
              </c:numCache>
            </c:numRef>
          </c:xVal>
          <c:yVal>
            <c:numRef>
              <c:f>'33053047870000'!$D$2:$D$35</c:f>
              <c:numCache>
                <c:formatCode>General</c:formatCode>
                <c:ptCount val="34"/>
                <c:pt idx="0">
                  <c:v>143.90322580645162</c:v>
                </c:pt>
                <c:pt idx="1">
                  <c:v>153.32258064516128</c:v>
                </c:pt>
                <c:pt idx="2">
                  <c:v>153.5</c:v>
                </c:pt>
                <c:pt idx="3">
                  <c:v>166.64516129032259</c:v>
                </c:pt>
                <c:pt idx="4">
                  <c:v>152.7391304347826</c:v>
                </c:pt>
                <c:pt idx="5">
                  <c:v>173.45161290322579</c:v>
                </c:pt>
                <c:pt idx="6">
                  <c:v>152.78571428571428</c:v>
                </c:pt>
                <c:pt idx="7">
                  <c:v>188.12903225806451</c:v>
                </c:pt>
                <c:pt idx="8">
                  <c:v>171.87096774193549</c:v>
                </c:pt>
                <c:pt idx="9">
                  <c:v>184.89655172413794</c:v>
                </c:pt>
                <c:pt idx="10">
                  <c:v>215.80645161290323</c:v>
                </c:pt>
                <c:pt idx="11">
                  <c:v>209.4</c:v>
                </c:pt>
                <c:pt idx="12">
                  <c:v>212.7741935483871</c:v>
                </c:pt>
                <c:pt idx="13">
                  <c:v>300.61290322580646</c:v>
                </c:pt>
                <c:pt idx="14">
                  <c:v>260.60000000000002</c:v>
                </c:pt>
                <c:pt idx="15">
                  <c:v>255.45161290322579</c:v>
                </c:pt>
                <c:pt idx="16">
                  <c:v>240.66666666666666</c:v>
                </c:pt>
                <c:pt idx="17">
                  <c:v>283.45161290322579</c:v>
                </c:pt>
                <c:pt idx="18">
                  <c:v>338.10714285714283</c:v>
                </c:pt>
                <c:pt idx="19">
                  <c:v>299.35483870967744</c:v>
                </c:pt>
                <c:pt idx="20">
                  <c:v>307.92307692307691</c:v>
                </c:pt>
                <c:pt idx="21">
                  <c:v>297.55172413793105</c:v>
                </c:pt>
                <c:pt idx="22">
                  <c:v>282.03225806451616</c:v>
                </c:pt>
                <c:pt idx="23">
                  <c:v>374.13333333333333</c:v>
                </c:pt>
                <c:pt idx="24">
                  <c:v>402.1</c:v>
                </c:pt>
                <c:pt idx="25">
                  <c:v>338.37931034482756</c:v>
                </c:pt>
                <c:pt idx="26">
                  <c:v>315.93333333333334</c:v>
                </c:pt>
                <c:pt idx="27">
                  <c:v>458.93548387096774</c:v>
                </c:pt>
                <c:pt idx="28">
                  <c:v>455.5</c:v>
                </c:pt>
                <c:pt idx="29">
                  <c:v>794.12903225806451</c:v>
                </c:pt>
                <c:pt idx="30">
                  <c:v>770.06896551724139</c:v>
                </c:pt>
                <c:pt idx="31">
                  <c:v>868.23333333333335</c:v>
                </c:pt>
                <c:pt idx="32">
                  <c:v>1122.8064516129032</c:v>
                </c:pt>
                <c:pt idx="33">
                  <c:v>1224.3076923076924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'33053047870000'!$E$2:$E$35</c:f>
              <c:numCache>
                <c:formatCode>General</c:formatCode>
                <c:ptCount val="34"/>
                <c:pt idx="0">
                  <c:v>1035</c:v>
                </c:pt>
                <c:pt idx="1">
                  <c:v>1004</c:v>
                </c:pt>
                <c:pt idx="2">
                  <c:v>973</c:v>
                </c:pt>
                <c:pt idx="3">
                  <c:v>943</c:v>
                </c:pt>
                <c:pt idx="4">
                  <c:v>912</c:v>
                </c:pt>
                <c:pt idx="5">
                  <c:v>882</c:v>
                </c:pt>
                <c:pt idx="6">
                  <c:v>851</c:v>
                </c:pt>
                <c:pt idx="7">
                  <c:v>823</c:v>
                </c:pt>
                <c:pt idx="8">
                  <c:v>792</c:v>
                </c:pt>
                <c:pt idx="9">
                  <c:v>761</c:v>
                </c:pt>
                <c:pt idx="10">
                  <c:v>731</c:v>
                </c:pt>
                <c:pt idx="11">
                  <c:v>700</c:v>
                </c:pt>
                <c:pt idx="12">
                  <c:v>670</c:v>
                </c:pt>
                <c:pt idx="13">
                  <c:v>639</c:v>
                </c:pt>
                <c:pt idx="14">
                  <c:v>608</c:v>
                </c:pt>
                <c:pt idx="15">
                  <c:v>578</c:v>
                </c:pt>
                <c:pt idx="16">
                  <c:v>547</c:v>
                </c:pt>
                <c:pt idx="17">
                  <c:v>517</c:v>
                </c:pt>
                <c:pt idx="18">
                  <c:v>486</c:v>
                </c:pt>
                <c:pt idx="19">
                  <c:v>458</c:v>
                </c:pt>
                <c:pt idx="20">
                  <c:v>427</c:v>
                </c:pt>
                <c:pt idx="21">
                  <c:v>396</c:v>
                </c:pt>
                <c:pt idx="22">
                  <c:v>366</c:v>
                </c:pt>
                <c:pt idx="23">
                  <c:v>335</c:v>
                </c:pt>
                <c:pt idx="24">
                  <c:v>305</c:v>
                </c:pt>
                <c:pt idx="25">
                  <c:v>274</c:v>
                </c:pt>
                <c:pt idx="26">
                  <c:v>243</c:v>
                </c:pt>
                <c:pt idx="27">
                  <c:v>213</c:v>
                </c:pt>
                <c:pt idx="28">
                  <c:v>182</c:v>
                </c:pt>
                <c:pt idx="29">
                  <c:v>152</c:v>
                </c:pt>
                <c:pt idx="30">
                  <c:v>121</c:v>
                </c:pt>
                <c:pt idx="31">
                  <c:v>92</c:v>
                </c:pt>
                <c:pt idx="32">
                  <c:v>61</c:v>
                </c:pt>
                <c:pt idx="33">
                  <c:v>30</c:v>
                </c:pt>
              </c:numCache>
            </c:numRef>
          </c:xVal>
          <c:yVal>
            <c:numRef>
              <c:f>'33053047870000'!$F$2:$F$35</c:f>
              <c:numCache>
                <c:formatCode>General</c:formatCode>
                <c:ptCount val="34"/>
                <c:pt idx="0">
                  <c:v>140.30757709159462</c:v>
                </c:pt>
                <c:pt idx="1">
                  <c:v>144.63914638303089</c:v>
                </c:pt>
                <c:pt idx="2">
                  <c:v>149.2262235370124</c:v>
                </c:pt>
                <c:pt idx="3">
                  <c:v>153.9299295051664</c:v>
                </c:pt>
                <c:pt idx="4">
                  <c:v>159.08849878476437</c:v>
                </c:pt>
                <c:pt idx="5">
                  <c:v>164.39558529536939</c:v>
                </c:pt>
                <c:pt idx="6">
                  <c:v>170.23610179882203</c:v>
                </c:pt>
                <c:pt idx="7">
                  <c:v>175.8524897577208</c:v>
                </c:pt>
                <c:pt idx="8">
                  <c:v>182.48575160827829</c:v>
                </c:pt>
                <c:pt idx="9">
                  <c:v>189.60000125326482</c:v>
                </c:pt>
                <c:pt idx="10">
                  <c:v>196.99237095847775</c:v>
                </c:pt>
                <c:pt idx="11">
                  <c:v>205.21459130590782</c:v>
                </c:pt>
                <c:pt idx="12">
                  <c:v>213.80116957186038</c:v>
                </c:pt>
                <c:pt idx="13">
                  <c:v>223.40315723058035</c:v>
                </c:pt>
                <c:pt idx="14">
                  <c:v>233.83944455350078</c:v>
                </c:pt>
                <c:pt idx="15">
                  <c:v>244.83732133858251</c:v>
                </c:pt>
                <c:pt idx="16">
                  <c:v>257.25665516163389</c:v>
                </c:pt>
                <c:pt idx="17">
                  <c:v>270.44007180748537</c:v>
                </c:pt>
                <c:pt idx="18">
                  <c:v>285.44614002654777</c:v>
                </c:pt>
                <c:pt idx="19">
                  <c:v>300.39073645578918</c:v>
                </c:pt>
                <c:pt idx="20">
                  <c:v>318.72358027639291</c:v>
                </c:pt>
                <c:pt idx="21">
                  <c:v>339.25267681984769</c:v>
                </c:pt>
                <c:pt idx="22">
                  <c:v>361.59355471355775</c:v>
                </c:pt>
                <c:pt idx="23">
                  <c:v>387.7328018400533</c:v>
                </c:pt>
                <c:pt idx="24">
                  <c:v>416.58884866277157</c:v>
                </c:pt>
                <c:pt idx="25">
                  <c:v>450.90055870923237</c:v>
                </c:pt>
                <c:pt idx="26">
                  <c:v>490.8689531730559</c:v>
                </c:pt>
                <c:pt idx="27">
                  <c:v>536.3205145995064</c:v>
                </c:pt>
                <c:pt idx="28">
                  <c:v>592.24852793245236</c:v>
                </c:pt>
                <c:pt idx="29">
                  <c:v>657.67942732173572</c:v>
                </c:pt>
                <c:pt idx="30">
                  <c:v>740.95470496779137</c:v>
                </c:pt>
                <c:pt idx="31">
                  <c:v>838.61489893749797</c:v>
                </c:pt>
                <c:pt idx="32">
                  <c:v>973.14242095260317</c:v>
                </c:pt>
                <c:pt idx="33">
                  <c:v>1154.2173416313983</c:v>
                </c:pt>
              </c:numCache>
            </c:numRef>
          </c:yVal>
          <c:smooth val="0"/>
        </c:ser>
        <c:ser>
          <c:idx val="2"/>
          <c:order val="2"/>
          <c:tx>
            <c:v>forcast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'33053047870000'!$M$3:$M$6</c:f>
              <c:numCache>
                <c:formatCode>General</c:formatCode>
                <c:ptCount val="4"/>
                <c:pt idx="0">
                  <c:v>1035</c:v>
                </c:pt>
                <c:pt idx="1">
                  <c:v>1200</c:v>
                </c:pt>
                <c:pt idx="2">
                  <c:v>1500</c:v>
                </c:pt>
                <c:pt idx="3">
                  <c:v>1800</c:v>
                </c:pt>
              </c:numCache>
            </c:numRef>
          </c:xVal>
          <c:yVal>
            <c:numRef>
              <c:f>'33053047870000'!$N$3:$N$6</c:f>
              <c:numCache>
                <c:formatCode>General</c:formatCode>
                <c:ptCount val="4"/>
                <c:pt idx="0">
                  <c:v>140.30757709159462</c:v>
                </c:pt>
                <c:pt idx="1">
                  <c:v>120.80305503908995</c:v>
                </c:pt>
                <c:pt idx="2">
                  <c:v>95.901328895524969</c:v>
                </c:pt>
                <c:pt idx="3">
                  <c:v>79.107069333476105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533120"/>
        <c:axId val="414535080"/>
      </c:scatterChart>
      <c:valAx>
        <c:axId val="41453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35080"/>
        <c:crosses val="autoZero"/>
        <c:crossBetween val="midCat"/>
      </c:valAx>
      <c:valAx>
        <c:axId val="41453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3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'33053060370000'!$E$2:$E$41</c:f>
              <c:numCache>
                <c:formatCode>General</c:formatCode>
                <c:ptCount val="40"/>
                <c:pt idx="0">
                  <c:v>1219</c:v>
                </c:pt>
                <c:pt idx="1">
                  <c:v>1188</c:v>
                </c:pt>
                <c:pt idx="2">
                  <c:v>1157</c:v>
                </c:pt>
                <c:pt idx="3">
                  <c:v>1127</c:v>
                </c:pt>
                <c:pt idx="4">
                  <c:v>1096</c:v>
                </c:pt>
                <c:pt idx="5">
                  <c:v>1066</c:v>
                </c:pt>
                <c:pt idx="6">
                  <c:v>1035</c:v>
                </c:pt>
                <c:pt idx="7">
                  <c:v>1007</c:v>
                </c:pt>
                <c:pt idx="8">
                  <c:v>976</c:v>
                </c:pt>
                <c:pt idx="9">
                  <c:v>945</c:v>
                </c:pt>
                <c:pt idx="10">
                  <c:v>915</c:v>
                </c:pt>
                <c:pt idx="11">
                  <c:v>884</c:v>
                </c:pt>
                <c:pt idx="12">
                  <c:v>854</c:v>
                </c:pt>
                <c:pt idx="13">
                  <c:v>823</c:v>
                </c:pt>
                <c:pt idx="14">
                  <c:v>792</c:v>
                </c:pt>
                <c:pt idx="15">
                  <c:v>762</c:v>
                </c:pt>
                <c:pt idx="16">
                  <c:v>731</c:v>
                </c:pt>
                <c:pt idx="17">
                  <c:v>701</c:v>
                </c:pt>
                <c:pt idx="18">
                  <c:v>670</c:v>
                </c:pt>
                <c:pt idx="19">
                  <c:v>642</c:v>
                </c:pt>
                <c:pt idx="20">
                  <c:v>611</c:v>
                </c:pt>
                <c:pt idx="21">
                  <c:v>580</c:v>
                </c:pt>
                <c:pt idx="22">
                  <c:v>550</c:v>
                </c:pt>
                <c:pt idx="23">
                  <c:v>519</c:v>
                </c:pt>
                <c:pt idx="24">
                  <c:v>489</c:v>
                </c:pt>
                <c:pt idx="25">
                  <c:v>458</c:v>
                </c:pt>
                <c:pt idx="26">
                  <c:v>427</c:v>
                </c:pt>
                <c:pt idx="27">
                  <c:v>397</c:v>
                </c:pt>
                <c:pt idx="28">
                  <c:v>366</c:v>
                </c:pt>
                <c:pt idx="29">
                  <c:v>336</c:v>
                </c:pt>
                <c:pt idx="30">
                  <c:v>305</c:v>
                </c:pt>
                <c:pt idx="31">
                  <c:v>276</c:v>
                </c:pt>
                <c:pt idx="32">
                  <c:v>245</c:v>
                </c:pt>
                <c:pt idx="33">
                  <c:v>214</c:v>
                </c:pt>
                <c:pt idx="34">
                  <c:v>184</c:v>
                </c:pt>
                <c:pt idx="35">
                  <c:v>153</c:v>
                </c:pt>
                <c:pt idx="36">
                  <c:v>123</c:v>
                </c:pt>
                <c:pt idx="37">
                  <c:v>92</c:v>
                </c:pt>
                <c:pt idx="38">
                  <c:v>61</c:v>
                </c:pt>
                <c:pt idx="39">
                  <c:v>31</c:v>
                </c:pt>
              </c:numCache>
            </c:numRef>
          </c:xVal>
          <c:yVal>
            <c:numRef>
              <c:f>'33053060370000'!$D$2:$D$41</c:f>
              <c:numCache>
                <c:formatCode>General</c:formatCode>
                <c:ptCount val="40"/>
                <c:pt idx="0">
                  <c:v>43.548387096774192</c:v>
                </c:pt>
                <c:pt idx="1">
                  <c:v>46.387096774193552</c:v>
                </c:pt>
                <c:pt idx="2">
                  <c:v>47.733333333333334</c:v>
                </c:pt>
                <c:pt idx="3">
                  <c:v>46.483870967741936</c:v>
                </c:pt>
                <c:pt idx="4">
                  <c:v>52.766666666666666</c:v>
                </c:pt>
                <c:pt idx="5">
                  <c:v>47.354838709677416</c:v>
                </c:pt>
                <c:pt idx="6">
                  <c:v>55.642857142857146</c:v>
                </c:pt>
                <c:pt idx="7">
                  <c:v>53.935483870967744</c:v>
                </c:pt>
                <c:pt idx="8">
                  <c:v>53.935483870967744</c:v>
                </c:pt>
                <c:pt idx="9">
                  <c:v>57</c:v>
                </c:pt>
                <c:pt idx="10">
                  <c:v>61.741935483870968</c:v>
                </c:pt>
                <c:pt idx="11">
                  <c:v>74.900000000000006</c:v>
                </c:pt>
                <c:pt idx="12">
                  <c:v>84.58064516129032</c:v>
                </c:pt>
                <c:pt idx="13">
                  <c:v>86.451612903225808</c:v>
                </c:pt>
                <c:pt idx="14">
                  <c:v>64.275862068965523</c:v>
                </c:pt>
                <c:pt idx="15">
                  <c:v>50.81818181818182</c:v>
                </c:pt>
                <c:pt idx="16">
                  <c:v>53.166666666666664</c:v>
                </c:pt>
                <c:pt idx="17">
                  <c:v>59.677419354838712</c:v>
                </c:pt>
                <c:pt idx="18">
                  <c:v>61.357142857142854</c:v>
                </c:pt>
                <c:pt idx="19">
                  <c:v>67.516129032258064</c:v>
                </c:pt>
                <c:pt idx="20">
                  <c:v>74.935483870967744</c:v>
                </c:pt>
                <c:pt idx="21">
                  <c:v>63.56666666666667</c:v>
                </c:pt>
                <c:pt idx="22">
                  <c:v>69.612903225806448</c:v>
                </c:pt>
                <c:pt idx="23">
                  <c:v>66.84</c:v>
                </c:pt>
                <c:pt idx="24">
                  <c:v>55.774193548387096</c:v>
                </c:pt>
                <c:pt idx="25">
                  <c:v>76.516129032258064</c:v>
                </c:pt>
                <c:pt idx="26">
                  <c:v>93.8</c:v>
                </c:pt>
                <c:pt idx="27">
                  <c:v>102.96774193548387</c:v>
                </c:pt>
                <c:pt idx="28">
                  <c:v>104.03333333333333</c:v>
                </c:pt>
                <c:pt idx="29">
                  <c:v>123.12903225806451</c:v>
                </c:pt>
                <c:pt idx="30">
                  <c:v>116.13793103448276</c:v>
                </c:pt>
                <c:pt idx="31">
                  <c:v>148.03225806451613</c:v>
                </c:pt>
                <c:pt idx="32">
                  <c:v>193.38709677419354</c:v>
                </c:pt>
                <c:pt idx="33">
                  <c:v>221.73333333333332</c:v>
                </c:pt>
                <c:pt idx="34">
                  <c:v>215.21739130434781</c:v>
                </c:pt>
                <c:pt idx="35">
                  <c:v>132.43478260869566</c:v>
                </c:pt>
                <c:pt idx="36">
                  <c:v>234.34482758620689</c:v>
                </c:pt>
                <c:pt idx="37">
                  <c:v>158.92307692307693</c:v>
                </c:pt>
                <c:pt idx="38">
                  <c:v>253.6</c:v>
                </c:pt>
                <c:pt idx="39">
                  <c:v>454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'33053060370000'!$E$2:$E$41</c:f>
              <c:numCache>
                <c:formatCode>General</c:formatCode>
                <c:ptCount val="40"/>
                <c:pt idx="0">
                  <c:v>1219</c:v>
                </c:pt>
                <c:pt idx="1">
                  <c:v>1188</c:v>
                </c:pt>
                <c:pt idx="2">
                  <c:v>1157</c:v>
                </c:pt>
                <c:pt idx="3">
                  <c:v>1127</c:v>
                </c:pt>
                <c:pt idx="4">
                  <c:v>1096</c:v>
                </c:pt>
                <c:pt idx="5">
                  <c:v>1066</c:v>
                </c:pt>
                <c:pt idx="6">
                  <c:v>1035</c:v>
                </c:pt>
                <c:pt idx="7">
                  <c:v>1007</c:v>
                </c:pt>
                <c:pt idx="8">
                  <c:v>976</c:v>
                </c:pt>
                <c:pt idx="9">
                  <c:v>945</c:v>
                </c:pt>
                <c:pt idx="10">
                  <c:v>915</c:v>
                </c:pt>
                <c:pt idx="11">
                  <c:v>884</c:v>
                </c:pt>
                <c:pt idx="12">
                  <c:v>854</c:v>
                </c:pt>
                <c:pt idx="13">
                  <c:v>823</c:v>
                </c:pt>
                <c:pt idx="14">
                  <c:v>792</c:v>
                </c:pt>
                <c:pt idx="15">
                  <c:v>762</c:v>
                </c:pt>
                <c:pt idx="16">
                  <c:v>731</c:v>
                </c:pt>
                <c:pt idx="17">
                  <c:v>701</c:v>
                </c:pt>
                <c:pt idx="18">
                  <c:v>670</c:v>
                </c:pt>
                <c:pt idx="19">
                  <c:v>642</c:v>
                </c:pt>
                <c:pt idx="20">
                  <c:v>611</c:v>
                </c:pt>
                <c:pt idx="21">
                  <c:v>580</c:v>
                </c:pt>
                <c:pt idx="22">
                  <c:v>550</c:v>
                </c:pt>
                <c:pt idx="23">
                  <c:v>519</c:v>
                </c:pt>
                <c:pt idx="24">
                  <c:v>489</c:v>
                </c:pt>
                <c:pt idx="25">
                  <c:v>458</c:v>
                </c:pt>
                <c:pt idx="26">
                  <c:v>427</c:v>
                </c:pt>
                <c:pt idx="27">
                  <c:v>397</c:v>
                </c:pt>
                <c:pt idx="28">
                  <c:v>366</c:v>
                </c:pt>
                <c:pt idx="29">
                  <c:v>336</c:v>
                </c:pt>
                <c:pt idx="30">
                  <c:v>305</c:v>
                </c:pt>
                <c:pt idx="31">
                  <c:v>276</c:v>
                </c:pt>
                <c:pt idx="32">
                  <c:v>245</c:v>
                </c:pt>
                <c:pt idx="33">
                  <c:v>214</c:v>
                </c:pt>
                <c:pt idx="34">
                  <c:v>184</c:v>
                </c:pt>
                <c:pt idx="35">
                  <c:v>153</c:v>
                </c:pt>
                <c:pt idx="36">
                  <c:v>123</c:v>
                </c:pt>
                <c:pt idx="37">
                  <c:v>92</c:v>
                </c:pt>
                <c:pt idx="38">
                  <c:v>61</c:v>
                </c:pt>
                <c:pt idx="39">
                  <c:v>31</c:v>
                </c:pt>
              </c:numCache>
            </c:numRef>
          </c:xVal>
          <c:yVal>
            <c:numRef>
              <c:f>'33053060370000'!$F$2:$F$41</c:f>
              <c:numCache>
                <c:formatCode>General</c:formatCode>
                <c:ptCount val="40"/>
                <c:pt idx="0">
                  <c:v>40.778335756543555</c:v>
                </c:pt>
                <c:pt idx="1">
                  <c:v>41.822621579301142</c:v>
                </c:pt>
                <c:pt idx="2">
                  <c:v>42.918917465555346</c:v>
                </c:pt>
                <c:pt idx="3">
                  <c:v>44.033048909868036</c:v>
                </c:pt>
                <c:pt idx="4">
                  <c:v>45.243477001842351</c:v>
                </c:pt>
                <c:pt idx="5">
                  <c:v>46.476526971511916</c:v>
                </c:pt>
                <c:pt idx="6">
                  <c:v>47.819502331754109</c:v>
                </c:pt>
                <c:pt idx="7">
                  <c:v>49.097404499901508</c:v>
                </c:pt>
                <c:pt idx="8">
                  <c:v>50.589987552713076</c:v>
                </c:pt>
                <c:pt idx="9">
                  <c:v>52.171207994135322</c:v>
                </c:pt>
                <c:pt idx="10">
                  <c:v>53.793326522477656</c:v>
                </c:pt>
                <c:pt idx="11">
                  <c:v>55.573187737531995</c:v>
                </c:pt>
                <c:pt idx="12">
                  <c:v>57.405326116753223</c:v>
                </c:pt>
                <c:pt idx="13">
                  <c:v>59.422918510846479</c:v>
                </c:pt>
                <c:pt idx="14">
                  <c:v>61.579641763283284</c:v>
                </c:pt>
                <c:pt idx="15">
                  <c:v>63.813016009651079</c:v>
                </c:pt>
                <c:pt idx="16">
                  <c:v>66.288165643238912</c:v>
                </c:pt>
                <c:pt idx="17">
                  <c:v>68.86321253623602</c:v>
                </c:pt>
                <c:pt idx="18">
                  <c:v>71.731251853643613</c:v>
                </c:pt>
                <c:pt idx="19">
                  <c:v>74.523615888196261</c:v>
                </c:pt>
                <c:pt idx="20">
                  <c:v>77.86582690468677</c:v>
                </c:pt>
                <c:pt idx="21">
                  <c:v>81.504803333689452</c:v>
                </c:pt>
                <c:pt idx="22">
                  <c:v>85.347079737410098</c:v>
                </c:pt>
                <c:pt idx="23">
                  <c:v>89.695571437789255</c:v>
                </c:pt>
                <c:pt idx="24">
                  <c:v>94.32318089653883</c:v>
                </c:pt>
                <c:pt idx="25">
                  <c:v>99.605637268743067</c:v>
                </c:pt>
                <c:pt idx="26">
                  <c:v>105.480004828068</c:v>
                </c:pt>
                <c:pt idx="27">
                  <c:v>111.82549517072785</c:v>
                </c:pt>
                <c:pt idx="28">
                  <c:v>119.18964909743003</c:v>
                </c:pt>
                <c:pt idx="29">
                  <c:v>127.24684708582465</c:v>
                </c:pt>
                <c:pt idx="30">
                  <c:v>136.73277731632788</c:v>
                </c:pt>
                <c:pt idx="31">
                  <c:v>146.90425711943539</c:v>
                </c:pt>
                <c:pt idx="32">
                  <c:v>159.4897585156738</c:v>
                </c:pt>
                <c:pt idx="33">
                  <c:v>174.29488533848883</c:v>
                </c:pt>
                <c:pt idx="34">
                  <c:v>191.32688016849204</c:v>
                </c:pt>
                <c:pt idx="35">
                  <c:v>212.58094079943578</c:v>
                </c:pt>
                <c:pt idx="36">
                  <c:v>237.87710074183448</c:v>
                </c:pt>
                <c:pt idx="37">
                  <c:v>270.77252636372151</c:v>
                </c:pt>
                <c:pt idx="38">
                  <c:v>313.53790225023914</c:v>
                </c:pt>
                <c:pt idx="39">
                  <c:v>369.08555434591045</c:v>
                </c:pt>
              </c:numCache>
            </c:numRef>
          </c:yVal>
          <c:smooth val="0"/>
        </c:ser>
        <c:ser>
          <c:idx val="2"/>
          <c:order val="2"/>
          <c:tx>
            <c:v>forcast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'33053060370000'!$M$3:$M$6</c:f>
              <c:numCache>
                <c:formatCode>General</c:formatCode>
                <c:ptCount val="4"/>
                <c:pt idx="0">
                  <c:v>1219</c:v>
                </c:pt>
                <c:pt idx="1">
                  <c:v>1300</c:v>
                </c:pt>
                <c:pt idx="2">
                  <c:v>1500</c:v>
                </c:pt>
                <c:pt idx="3">
                  <c:v>1800</c:v>
                </c:pt>
              </c:numCache>
            </c:numRef>
          </c:xVal>
          <c:yVal>
            <c:numRef>
              <c:f>'33053060370000'!$N$3:$N$6</c:f>
              <c:numCache>
                <c:formatCode>General</c:formatCode>
                <c:ptCount val="4"/>
                <c:pt idx="0">
                  <c:v>40.778335756543555</c:v>
                </c:pt>
                <c:pt idx="1">
                  <c:v>38.270306953270449</c:v>
                </c:pt>
                <c:pt idx="2">
                  <c:v>33.178830970891006</c:v>
                </c:pt>
                <c:pt idx="3">
                  <c:v>27.582912015861755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534296"/>
        <c:axId val="578644552"/>
      </c:scatterChart>
      <c:valAx>
        <c:axId val="41453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44552"/>
        <c:crosses val="autoZero"/>
        <c:crossBetween val="midCat"/>
      </c:valAx>
      <c:valAx>
        <c:axId val="57864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3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22224</xdr:colOff>
      <xdr:row>9</xdr:row>
      <xdr:rowOff>63501</xdr:rowOff>
    </xdr:from>
    <xdr:to>
      <xdr:col>15</xdr:col>
      <xdr:colOff>396875</xdr:colOff>
      <xdr:row>26</xdr:row>
      <xdr:rowOff>7939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</xdr:colOff>
      <xdr:row>9</xdr:row>
      <xdr:rowOff>168275</xdr:rowOff>
    </xdr:from>
    <xdr:to>
      <xdr:col>15</xdr:col>
      <xdr:colOff>297657</xdr:colOff>
      <xdr:row>24</xdr:row>
      <xdr:rowOff>173038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</xdr:colOff>
      <xdr:row>9</xdr:row>
      <xdr:rowOff>168275</xdr:rowOff>
    </xdr:from>
    <xdr:to>
      <xdr:col>15</xdr:col>
      <xdr:colOff>297657</xdr:colOff>
      <xdr:row>24</xdr:row>
      <xdr:rowOff>173038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</xdr:colOff>
      <xdr:row>9</xdr:row>
      <xdr:rowOff>168275</xdr:rowOff>
    </xdr:from>
    <xdr:to>
      <xdr:col>15</xdr:col>
      <xdr:colOff>297657</xdr:colOff>
      <xdr:row>24</xdr:row>
      <xdr:rowOff>173038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3"/>
  <sheetViews>
    <sheetView tabSelected="1" zoomScale="80" zoomScaleNormal="80" workbookViewId="0">
      <selection activeCell="I15" sqref="I15"/>
    </sheetView>
  </sheetViews>
  <sheetFormatPr defaultRowHeight="14.5" x14ac:dyDescent="0.35"/>
  <cols>
    <col min="1" max="1" width="9.7265625" bestFit="1" customWidth="1"/>
    <col min="2" max="2" width="8.7265625" customWidth="1"/>
    <col min="3" max="5" width="10.453125" customWidth="1"/>
    <col min="11" max="11" width="11.08984375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10</v>
      </c>
      <c r="E1" t="s">
        <v>9</v>
      </c>
      <c r="F1" t="s">
        <v>3</v>
      </c>
      <c r="G1" t="s">
        <v>4</v>
      </c>
      <c r="I1" t="s">
        <v>5</v>
      </c>
      <c r="J1">
        <v>1497.1006621857903</v>
      </c>
      <c r="K1" t="s">
        <v>8</v>
      </c>
      <c r="L1" t="s">
        <v>12</v>
      </c>
    </row>
    <row r="2" spans="1:14" x14ac:dyDescent="0.35">
      <c r="A2" s="1">
        <v>43313</v>
      </c>
      <c r="B2">
        <v>1089</v>
      </c>
      <c r="C2">
        <v>31</v>
      </c>
      <c r="D2">
        <f>B2/C2</f>
        <v>35.12903225806452</v>
      </c>
      <c r="E2">
        <f>E3+C2</f>
        <v>1308</v>
      </c>
      <c r="F2">
        <f>ArpsRate($J$1,$J$2,$J$3,E2)</f>
        <v>29.813593033214978</v>
      </c>
      <c r="G2" s="2">
        <f>ABS(D2-F2)/D2</f>
        <v>0.15131186039516598</v>
      </c>
      <c r="I2" t="s">
        <v>6</v>
      </c>
      <c r="J2">
        <v>3.0000000000000001E-3</v>
      </c>
      <c r="L2" t="s">
        <v>22</v>
      </c>
      <c r="M2" t="s">
        <v>13</v>
      </c>
      <c r="N2" t="s">
        <v>14</v>
      </c>
    </row>
    <row r="3" spans="1:14" x14ac:dyDescent="0.35">
      <c r="A3" s="1">
        <v>43282</v>
      </c>
      <c r="B3">
        <v>1834</v>
      </c>
      <c r="C3">
        <v>31</v>
      </c>
      <c r="D3">
        <f>B3/C3</f>
        <v>59.161290322580648</v>
      </c>
      <c r="E3">
        <f>E4+A2-A3</f>
        <v>1277</v>
      </c>
      <c r="F3">
        <f>ArpsRate($J$1,$J$2,$J$3,E3)</f>
        <v>32.707526414020514</v>
      </c>
      <c r="G3" s="2">
        <f t="shared" ref="G3:G43" si="0">ABS(D3-F3)/D3</f>
        <v>0.44714650009016582</v>
      </c>
      <c r="I3" t="s">
        <v>7</v>
      </c>
      <c r="J3">
        <v>1E-3</v>
      </c>
      <c r="L3">
        <f>E2</f>
        <v>1308</v>
      </c>
      <c r="M3">
        <f>ArpsRate($J$1,$J$2,$J$3,L3)</f>
        <v>29.813593033214978</v>
      </c>
      <c r="N3">
        <f>NominalDecline(J2,J3,L3)</f>
        <v>2.9882740127738752E-3</v>
      </c>
    </row>
    <row r="4" spans="1:14" x14ac:dyDescent="0.35">
      <c r="A4" s="1">
        <v>43252</v>
      </c>
      <c r="B4">
        <v>1486</v>
      </c>
      <c r="C4">
        <v>22</v>
      </c>
      <c r="D4">
        <f>B4/C4</f>
        <v>67.545454545454547</v>
      </c>
      <c r="E4">
        <f>E5+A3-A4</f>
        <v>1246</v>
      </c>
      <c r="F4">
        <f>ArpsRate($J$1,$J$2,$J$3,E4)</f>
        <v>35.882674893646389</v>
      </c>
      <c r="G4" s="2">
        <f t="shared" si="0"/>
        <v>0.46876255204561201</v>
      </c>
      <c r="I4" t="s">
        <v>18</v>
      </c>
      <c r="J4">
        <v>8</v>
      </c>
      <c r="K4" t="s">
        <v>8</v>
      </c>
      <c r="L4">
        <v>1200</v>
      </c>
      <c r="M4">
        <f>ArpsRate($J$1,$J$2,$J$3,L4)</f>
        <v>41.171658313898476</v>
      </c>
    </row>
    <row r="5" spans="1:14" x14ac:dyDescent="0.35">
      <c r="A5" s="1">
        <v>43221</v>
      </c>
      <c r="B5">
        <v>1774</v>
      </c>
      <c r="C5">
        <v>30</v>
      </c>
      <c r="D5">
        <f>B5/C5</f>
        <v>59.133333333333333</v>
      </c>
      <c r="E5">
        <f>E6+A4-A5</f>
        <v>1216</v>
      </c>
      <c r="F5">
        <f>ArpsRate($J$1,$J$2,$J$3,E5)</f>
        <v>39.248900790666411</v>
      </c>
      <c r="G5" s="2">
        <f t="shared" si="0"/>
        <v>0.33626436092446882</v>
      </c>
      <c r="I5" t="s">
        <v>19</v>
      </c>
      <c r="J5">
        <f>SUM(B2:B43)</f>
        <v>345106</v>
      </c>
      <c r="K5" t="s">
        <v>15</v>
      </c>
      <c r="L5">
        <v>1500</v>
      </c>
      <c r="M5">
        <f>ArpsRate($J$1,$J$2,$J$3,L5)</f>
        <v>16.800024620532437</v>
      </c>
    </row>
    <row r="6" spans="1:14" x14ac:dyDescent="0.35">
      <c r="A6" s="1">
        <v>43191</v>
      </c>
      <c r="B6">
        <v>37</v>
      </c>
      <c r="C6">
        <v>11</v>
      </c>
      <c r="D6">
        <f>B6/C6</f>
        <v>3.3636363636363638</v>
      </c>
      <c r="E6">
        <f>E7+A5-A6</f>
        <v>1185</v>
      </c>
      <c r="F6">
        <f>ArpsRate($J$1,$J$2,$J$3,E6)</f>
        <v>43.059793703862233</v>
      </c>
      <c r="G6" s="2">
        <f t="shared" si="0"/>
        <v>11.80156029033742</v>
      </c>
      <c r="I6" t="s">
        <v>16</v>
      </c>
      <c r="J6">
        <f>cumulativeProduction(M3,N3,J3,J4)</f>
        <v>13124.788388629222</v>
      </c>
      <c r="K6" t="s">
        <v>15</v>
      </c>
      <c r="L6">
        <v>1800</v>
      </c>
      <c r="M6">
        <f>ArpsRate($J$1,$J$2,$J$3,L6)</f>
        <v>6.8607265583824866</v>
      </c>
    </row>
    <row r="7" spans="1:14" x14ac:dyDescent="0.35">
      <c r="A7" s="1">
        <v>43160</v>
      </c>
      <c r="B7">
        <v>0</v>
      </c>
      <c r="C7">
        <v>0</v>
      </c>
      <c r="D7" t="e">
        <f>B7/C7</f>
        <v>#DIV/0!</v>
      </c>
      <c r="E7">
        <f>E8+A6-A7</f>
        <v>1155</v>
      </c>
      <c r="F7">
        <f>ArpsRate($J$1,$J$2,$J$3,E7)</f>
        <v>47.100089725278245</v>
      </c>
      <c r="G7" s="2">
        <v>0</v>
      </c>
      <c r="I7" s="5" t="s">
        <v>17</v>
      </c>
      <c r="J7" s="6">
        <f>J5+J6</f>
        <v>358230.78838862921</v>
      </c>
      <c r="K7" s="7" t="s">
        <v>15</v>
      </c>
    </row>
    <row r="8" spans="1:14" x14ac:dyDescent="0.35">
      <c r="A8" s="1">
        <v>43132</v>
      </c>
      <c r="B8">
        <v>67</v>
      </c>
      <c r="C8">
        <v>3</v>
      </c>
      <c r="D8">
        <f>B8/C8</f>
        <v>22.333333333333332</v>
      </c>
      <c r="E8">
        <f>E9+A7-A8</f>
        <v>1124</v>
      </c>
      <c r="F8">
        <f>ArpsRate($J$1,$J$2,$J$3,E8)</f>
        <v>51.67417130103145</v>
      </c>
      <c r="G8" s="2">
        <f t="shared" si="0"/>
        <v>1.3137688642252889</v>
      </c>
    </row>
    <row r="9" spans="1:14" x14ac:dyDescent="0.35">
      <c r="A9" s="1">
        <v>43070</v>
      </c>
      <c r="B9">
        <v>2147</v>
      </c>
      <c r="C9">
        <v>14</v>
      </c>
      <c r="D9">
        <f>B9/C9</f>
        <v>153.35714285714286</v>
      </c>
      <c r="E9">
        <f>E10+A8-A9</f>
        <v>1096</v>
      </c>
      <c r="F9">
        <f>ArpsRate($J$1,$J$2,$J$3,E9)</f>
        <v>56.18665522077508</v>
      </c>
      <c r="G9" s="2">
        <f t="shared" si="0"/>
        <v>0.63362218300379547</v>
      </c>
      <c r="I9" t="s">
        <v>11</v>
      </c>
      <c r="J9" s="3">
        <f>SUM(G2:G43)</f>
        <v>28.020569022580258</v>
      </c>
    </row>
    <row r="10" spans="1:14" x14ac:dyDescent="0.35">
      <c r="A10" s="1">
        <v>43040</v>
      </c>
      <c r="B10">
        <v>6639</v>
      </c>
      <c r="C10">
        <v>30</v>
      </c>
      <c r="D10">
        <f>B10/C10</f>
        <v>221.3</v>
      </c>
      <c r="E10">
        <f>E11+A9-A10</f>
        <v>1034</v>
      </c>
      <c r="F10">
        <f>ArpsRate($J$1,$J$2,$J$3,E10)</f>
        <v>67.632382559345004</v>
      </c>
      <c r="G10" s="2">
        <f t="shared" si="0"/>
        <v>0.69438598030119758</v>
      </c>
    </row>
    <row r="11" spans="1:14" x14ac:dyDescent="0.35">
      <c r="A11" s="1">
        <v>43009</v>
      </c>
      <c r="B11">
        <v>5901</v>
      </c>
      <c r="C11">
        <v>25</v>
      </c>
      <c r="D11">
        <f>B11/C11</f>
        <v>236.04</v>
      </c>
      <c r="E11">
        <f>E12+A10-A11</f>
        <v>1004</v>
      </c>
      <c r="F11">
        <f>ArpsRate($J$1,$J$2,$J$3,E11)</f>
        <v>73.981318517164212</v>
      </c>
      <c r="G11" s="2">
        <f t="shared" si="0"/>
        <v>0.68657296001879242</v>
      </c>
    </row>
    <row r="12" spans="1:14" x14ac:dyDescent="0.35">
      <c r="A12" s="1">
        <v>42979</v>
      </c>
      <c r="B12">
        <v>31</v>
      </c>
      <c r="C12">
        <v>1</v>
      </c>
      <c r="D12">
        <f>B12/C12</f>
        <v>31</v>
      </c>
      <c r="E12">
        <f>E13+A11-A12</f>
        <v>973</v>
      </c>
      <c r="F12">
        <f>ArpsRate($J$1,$J$2,$J$3,E12)</f>
        <v>81.169343507560299</v>
      </c>
      <c r="G12" s="2">
        <f t="shared" si="0"/>
        <v>1.6183659195987192</v>
      </c>
    </row>
    <row r="13" spans="1:14" x14ac:dyDescent="0.35">
      <c r="A13" s="1">
        <v>42948</v>
      </c>
      <c r="B13">
        <v>4644</v>
      </c>
      <c r="C13">
        <v>29</v>
      </c>
      <c r="D13">
        <f>B13/C13</f>
        <v>160.13793103448276</v>
      </c>
      <c r="E13">
        <f>E14+A12-A13</f>
        <v>943</v>
      </c>
      <c r="F13">
        <f>ArpsRate($J$1,$J$2,$J$3,E13)</f>
        <v>88.790504607822157</v>
      </c>
      <c r="G13" s="2">
        <f t="shared" si="0"/>
        <v>0.44553733126036982</v>
      </c>
    </row>
    <row r="14" spans="1:14" x14ac:dyDescent="0.35">
      <c r="A14" s="1">
        <v>42917</v>
      </c>
      <c r="B14">
        <v>4752</v>
      </c>
      <c r="C14">
        <v>31</v>
      </c>
      <c r="D14">
        <f>B14/C14</f>
        <v>153.29032258064515</v>
      </c>
      <c r="E14">
        <f>E15+A13-A14</f>
        <v>912</v>
      </c>
      <c r="F14">
        <f>ArpsRate($J$1,$J$2,$J$3,E14)</f>
        <v>97.419038607010137</v>
      </c>
      <c r="G14" s="2">
        <f t="shared" si="0"/>
        <v>0.36448017743743383</v>
      </c>
    </row>
    <row r="15" spans="1:14" x14ac:dyDescent="0.35">
      <c r="A15" s="1">
        <v>42887</v>
      </c>
      <c r="B15">
        <v>5062</v>
      </c>
      <c r="C15">
        <v>30</v>
      </c>
      <c r="D15">
        <f>B15/C15</f>
        <v>168.73333333333332</v>
      </c>
      <c r="E15">
        <f>E16+A14-A15</f>
        <v>881</v>
      </c>
      <c r="F15">
        <f>ArpsRate($J$1,$J$2,$J$3,E15)</f>
        <v>106.88700059912499</v>
      </c>
      <c r="G15" s="2">
        <f t="shared" si="0"/>
        <v>0.36653298736196172</v>
      </c>
    </row>
    <row r="16" spans="1:14" x14ac:dyDescent="0.35">
      <c r="A16" s="1">
        <v>42856</v>
      </c>
      <c r="B16">
        <v>5889</v>
      </c>
      <c r="C16">
        <v>31</v>
      </c>
      <c r="D16">
        <f>B16/C16</f>
        <v>189.96774193548387</v>
      </c>
      <c r="E16">
        <f>E17+A15-A16</f>
        <v>851</v>
      </c>
      <c r="F16">
        <f>ArpsRate($J$1,$J$2,$J$3,E16)</f>
        <v>116.92573541372266</v>
      </c>
      <c r="G16" s="2">
        <f t="shared" si="0"/>
        <v>0.38449689288072636</v>
      </c>
    </row>
    <row r="17" spans="1:7" x14ac:dyDescent="0.35">
      <c r="A17" s="1">
        <v>42826</v>
      </c>
      <c r="B17">
        <v>4787</v>
      </c>
      <c r="C17">
        <v>27</v>
      </c>
      <c r="D17">
        <f>B17/C17</f>
        <v>177.2962962962963</v>
      </c>
      <c r="E17">
        <f>E18+A16-A17</f>
        <v>820</v>
      </c>
      <c r="F17">
        <f>ArpsRate($J$1,$J$2,$J$3,E17)</f>
        <v>128.29168642577181</v>
      </c>
      <c r="G17" s="2">
        <f t="shared" si="0"/>
        <v>0.27639951253481537</v>
      </c>
    </row>
    <row r="18" spans="1:7" x14ac:dyDescent="0.35">
      <c r="A18" s="1">
        <v>42795</v>
      </c>
      <c r="B18">
        <v>6089</v>
      </c>
      <c r="C18">
        <v>30</v>
      </c>
      <c r="D18">
        <f>B18/C18</f>
        <v>202.96666666666667</v>
      </c>
      <c r="E18">
        <f>E19+A17-A18</f>
        <v>790</v>
      </c>
      <c r="F18">
        <f>ArpsRate($J$1,$J$2,$J$3,E18)</f>
        <v>140.34303074033423</v>
      </c>
      <c r="G18" s="2">
        <f t="shared" si="0"/>
        <v>0.30854148099687523</v>
      </c>
    </row>
    <row r="19" spans="1:7" x14ac:dyDescent="0.35">
      <c r="A19" s="1">
        <v>42767</v>
      </c>
      <c r="B19">
        <v>6779</v>
      </c>
      <c r="C19">
        <v>25</v>
      </c>
      <c r="D19">
        <f>B19/C19</f>
        <v>271.16000000000003</v>
      </c>
      <c r="E19">
        <f>E20+A18-A19</f>
        <v>759</v>
      </c>
      <c r="F19">
        <f>ArpsRate($J$1,$J$2,$J$3,E19)</f>
        <v>153.98790506136712</v>
      </c>
      <c r="G19" s="2">
        <f t="shared" si="0"/>
        <v>0.43211423122375314</v>
      </c>
    </row>
    <row r="20" spans="1:7" x14ac:dyDescent="0.35">
      <c r="A20" s="1">
        <v>42736</v>
      </c>
      <c r="B20">
        <v>5463</v>
      </c>
      <c r="C20">
        <v>31</v>
      </c>
      <c r="D20">
        <f>B20/C20</f>
        <v>176.2258064516129</v>
      </c>
      <c r="E20">
        <f>E21+A19-A20</f>
        <v>731</v>
      </c>
      <c r="F20">
        <f>ArpsRate($J$1,$J$2,$J$3,E20)</f>
        <v>167.45032489333482</v>
      </c>
      <c r="G20" s="2">
        <f t="shared" si="0"/>
        <v>4.9796801813402944E-2</v>
      </c>
    </row>
    <row r="21" spans="1:7" x14ac:dyDescent="0.35">
      <c r="A21" s="1">
        <v>42705</v>
      </c>
      <c r="B21">
        <v>3124</v>
      </c>
      <c r="C21">
        <v>26</v>
      </c>
      <c r="D21">
        <f>B21/C21</f>
        <v>120.15384615384616</v>
      </c>
      <c r="E21">
        <f>E22+A20-A21</f>
        <v>700</v>
      </c>
      <c r="F21">
        <f>ArpsRate($J$1,$J$2,$J$3,E21)</f>
        <v>183.73372130331609</v>
      </c>
      <c r="G21" s="2">
        <f t="shared" si="0"/>
        <v>0.52915389048854611</v>
      </c>
    </row>
    <row r="22" spans="1:7" x14ac:dyDescent="0.35">
      <c r="A22" s="1">
        <v>42675</v>
      </c>
      <c r="B22">
        <v>5766</v>
      </c>
      <c r="C22">
        <v>28</v>
      </c>
      <c r="D22">
        <f>B22/C22</f>
        <v>205.92857142857142</v>
      </c>
      <c r="E22">
        <f>E23+A21-A22</f>
        <v>669</v>
      </c>
      <c r="F22">
        <f>ArpsRate($J$1,$J$2,$J$3,E22)</f>
        <v>201.60230276006664</v>
      </c>
      <c r="G22" s="2">
        <f t="shared" si="0"/>
        <v>2.1008588747508477E-2</v>
      </c>
    </row>
    <row r="23" spans="1:7" x14ac:dyDescent="0.35">
      <c r="A23" s="1">
        <v>42644</v>
      </c>
      <c r="B23">
        <v>7342</v>
      </c>
      <c r="C23">
        <v>31</v>
      </c>
      <c r="D23">
        <f>B23/C23</f>
        <v>236.83870967741936</v>
      </c>
      <c r="E23">
        <f>E24+A22-A23</f>
        <v>639</v>
      </c>
      <c r="F23">
        <f>ArpsRate($J$1,$J$2,$J$3,E23)</f>
        <v>220.54918348882003</v>
      </c>
      <c r="G23" s="2">
        <f t="shared" si="0"/>
        <v>6.877898554162068E-2</v>
      </c>
    </row>
    <row r="24" spans="1:7" x14ac:dyDescent="0.35">
      <c r="A24" s="1">
        <v>42614</v>
      </c>
      <c r="B24">
        <v>8026</v>
      </c>
      <c r="C24">
        <v>30</v>
      </c>
      <c r="D24">
        <f>B24/C24</f>
        <v>267.53333333333336</v>
      </c>
      <c r="E24">
        <f>E25+A23-A24</f>
        <v>608</v>
      </c>
      <c r="F24">
        <f>ArpsRate($J$1,$J$2,$J$3,E24)</f>
        <v>242.0022667212919</v>
      </c>
      <c r="G24" s="2">
        <f t="shared" si="0"/>
        <v>9.5431347914433542E-2</v>
      </c>
    </row>
    <row r="25" spans="1:7" x14ac:dyDescent="0.35">
      <c r="A25" s="1">
        <v>42583</v>
      </c>
      <c r="B25">
        <v>8758</v>
      </c>
      <c r="C25">
        <v>31</v>
      </c>
      <c r="D25">
        <f>B25/C25</f>
        <v>282.51612903225805</v>
      </c>
      <c r="E25">
        <f>E26+A24-A25</f>
        <v>578</v>
      </c>
      <c r="F25">
        <f>ArpsRate($J$1,$J$2,$J$3,E25)</f>
        <v>264.75033957880095</v>
      </c>
      <c r="G25" s="2">
        <f t="shared" si="0"/>
        <v>6.2884159974557E-2</v>
      </c>
    </row>
    <row r="26" spans="1:7" x14ac:dyDescent="0.35">
      <c r="A26" s="1">
        <v>42552</v>
      </c>
      <c r="B26">
        <v>6210</v>
      </c>
      <c r="C26">
        <v>31</v>
      </c>
      <c r="D26">
        <f>B26/C26</f>
        <v>200.32258064516128</v>
      </c>
      <c r="E26">
        <f>E27+A25-A26</f>
        <v>547</v>
      </c>
      <c r="F26">
        <f>ArpsRate($J$1,$J$2,$J$3,E26)</f>
        <v>290.50784877131309</v>
      </c>
      <c r="G26" s="2">
        <f t="shared" si="0"/>
        <v>0.45020021125776266</v>
      </c>
    </row>
    <row r="27" spans="1:7" x14ac:dyDescent="0.35">
      <c r="A27" s="1">
        <v>42522</v>
      </c>
      <c r="B27">
        <v>9151</v>
      </c>
      <c r="C27">
        <v>30</v>
      </c>
      <c r="D27">
        <f>B27/C27</f>
        <v>305.03333333333336</v>
      </c>
      <c r="E27">
        <f>E28+A26-A27</f>
        <v>516</v>
      </c>
      <c r="F27">
        <f>ArpsRate($J$1,$J$2,$J$3,E27)</f>
        <v>318.77404907622525</v>
      </c>
      <c r="G27" s="2">
        <f t="shared" si="0"/>
        <v>4.5046603899765794E-2</v>
      </c>
    </row>
    <row r="28" spans="1:7" x14ac:dyDescent="0.35">
      <c r="A28" s="1">
        <v>42491</v>
      </c>
      <c r="B28">
        <v>8019</v>
      </c>
      <c r="C28">
        <v>31</v>
      </c>
      <c r="D28">
        <f>B28/C28</f>
        <v>258.67741935483872</v>
      </c>
      <c r="E28">
        <f>E29+A27-A28</f>
        <v>486</v>
      </c>
      <c r="F28">
        <f>ArpsRate($J$1,$J$2,$J$3,E28)</f>
        <v>348.74725940757429</v>
      </c>
      <c r="G28" s="2">
        <f t="shared" si="0"/>
        <v>0.34819367023753617</v>
      </c>
    </row>
    <row r="29" spans="1:7" x14ac:dyDescent="0.35">
      <c r="A29" s="1">
        <v>42461</v>
      </c>
      <c r="B29">
        <v>8313</v>
      </c>
      <c r="C29">
        <v>30</v>
      </c>
      <c r="D29">
        <f>B29/C29</f>
        <v>277.10000000000002</v>
      </c>
      <c r="E29">
        <f>E30+A28-A29</f>
        <v>455</v>
      </c>
      <c r="F29">
        <f>ArpsRate($J$1,$J$2,$J$3,E29)</f>
        <v>382.68660494449256</v>
      </c>
      <c r="G29" s="2">
        <f t="shared" si="0"/>
        <v>0.38104151910679368</v>
      </c>
    </row>
    <row r="30" spans="1:7" x14ac:dyDescent="0.35">
      <c r="A30" s="1">
        <v>42430</v>
      </c>
      <c r="B30">
        <v>9060</v>
      </c>
      <c r="C30">
        <v>31</v>
      </c>
      <c r="D30">
        <f>B30/C30</f>
        <v>292.25806451612902</v>
      </c>
      <c r="E30">
        <f>E31+A29-A30</f>
        <v>425</v>
      </c>
      <c r="F30">
        <f>ArpsRate($J$1,$J$2,$J$3,E30)</f>
        <v>418.67616576738226</v>
      </c>
      <c r="G30" s="2">
        <f t="shared" si="0"/>
        <v>0.43255641708486209</v>
      </c>
    </row>
    <row r="31" spans="1:7" x14ac:dyDescent="0.35">
      <c r="A31" s="1">
        <v>42401</v>
      </c>
      <c r="B31">
        <v>8260</v>
      </c>
      <c r="C31">
        <v>29</v>
      </c>
      <c r="D31">
        <f>B31/C31</f>
        <v>284.82758620689657</v>
      </c>
      <c r="E31">
        <f>E32+A30-A31</f>
        <v>394</v>
      </c>
      <c r="F31">
        <f>ArpsRate($J$1,$J$2,$J$3,E31)</f>
        <v>459.42864289045644</v>
      </c>
      <c r="G31" s="2">
        <f t="shared" si="0"/>
        <v>0.61300613121346681</v>
      </c>
    </row>
    <row r="32" spans="1:7" x14ac:dyDescent="0.35">
      <c r="A32" s="1">
        <v>42370</v>
      </c>
      <c r="B32">
        <v>8407</v>
      </c>
      <c r="C32">
        <v>30</v>
      </c>
      <c r="D32">
        <f>B32/C32</f>
        <v>280.23333333333335</v>
      </c>
      <c r="E32">
        <f>E33+A31-A32</f>
        <v>365</v>
      </c>
      <c r="F32">
        <f>ArpsRate($J$1,$J$2,$J$3,E32)</f>
        <v>501.13959749288227</v>
      </c>
      <c r="G32" s="2">
        <f t="shared" si="0"/>
        <v>0.78829403173384882</v>
      </c>
    </row>
    <row r="33" spans="1:7" x14ac:dyDescent="0.35">
      <c r="A33" s="1">
        <v>42339</v>
      </c>
      <c r="B33">
        <v>8545</v>
      </c>
      <c r="C33">
        <v>31</v>
      </c>
      <c r="D33">
        <f>B33/C33</f>
        <v>275.64516129032256</v>
      </c>
      <c r="E33">
        <f>E34+A32-A33</f>
        <v>334</v>
      </c>
      <c r="F33">
        <f>ArpsRate($J$1,$J$2,$J$3,E33)</f>
        <v>549.92796211891482</v>
      </c>
      <c r="G33" s="2">
        <f t="shared" si="0"/>
        <v>0.99505755713123001</v>
      </c>
    </row>
    <row r="34" spans="1:7" x14ac:dyDescent="0.35">
      <c r="A34" s="1">
        <v>42309</v>
      </c>
      <c r="B34">
        <v>9348</v>
      </c>
      <c r="C34">
        <v>30</v>
      </c>
      <c r="D34">
        <f>B34/C34</f>
        <v>311.60000000000002</v>
      </c>
      <c r="E34">
        <f>E35+A33-A34</f>
        <v>303</v>
      </c>
      <c r="F34">
        <f>ArpsRate($J$1,$J$2,$J$3,E34)</f>
        <v>603.47131906510936</v>
      </c>
      <c r="G34" s="2">
        <f t="shared" si="0"/>
        <v>0.93668587633218647</v>
      </c>
    </row>
    <row r="35" spans="1:7" x14ac:dyDescent="0.35">
      <c r="A35" s="1">
        <v>42278</v>
      </c>
      <c r="B35">
        <v>11213</v>
      </c>
      <c r="C35">
        <v>27</v>
      </c>
      <c r="D35">
        <f>B35/C35</f>
        <v>415.2962962962963</v>
      </c>
      <c r="E35">
        <f>E36+A34-A35</f>
        <v>273</v>
      </c>
      <c r="F35">
        <f>ArpsRate($J$1,$J$2,$J$3,E35)</f>
        <v>660.25149948592559</v>
      </c>
      <c r="G35" s="2">
        <f t="shared" si="0"/>
        <v>0.58983238081869171</v>
      </c>
    </row>
    <row r="36" spans="1:7" x14ac:dyDescent="0.35">
      <c r="A36" s="1">
        <v>42248</v>
      </c>
      <c r="B36">
        <v>12080</v>
      </c>
      <c r="C36">
        <v>20</v>
      </c>
      <c r="D36">
        <f>B36/C36</f>
        <v>604</v>
      </c>
      <c r="E36">
        <f>E37+A35-A36</f>
        <v>242</v>
      </c>
      <c r="F36">
        <f>ArpsRate($J$1,$J$2,$J$3,E36)</f>
        <v>724.54874130783844</v>
      </c>
      <c r="G36" s="2">
        <f t="shared" si="0"/>
        <v>0.19958400878781199</v>
      </c>
    </row>
    <row r="37" spans="1:7" x14ac:dyDescent="0.35">
      <c r="A37" s="1">
        <v>42217</v>
      </c>
      <c r="B37">
        <v>19949</v>
      </c>
      <c r="C37">
        <v>31</v>
      </c>
      <c r="D37">
        <f>B37/C37</f>
        <v>643.51612903225805</v>
      </c>
      <c r="E37">
        <f>E38+A36-A37</f>
        <v>212</v>
      </c>
      <c r="F37">
        <f>ArpsRate($J$1,$J$2,$J$3,E37)</f>
        <v>792.734044986463</v>
      </c>
      <c r="G37" s="2">
        <f t="shared" si="0"/>
        <v>0.23187906133542302</v>
      </c>
    </row>
    <row r="38" spans="1:7" x14ac:dyDescent="0.35">
      <c r="A38" s="1">
        <v>42186</v>
      </c>
      <c r="B38">
        <v>16470</v>
      </c>
      <c r="C38">
        <v>21</v>
      </c>
      <c r="D38">
        <f>B38/C38</f>
        <v>784.28571428571433</v>
      </c>
      <c r="E38">
        <f>E39+A37-A38</f>
        <v>181</v>
      </c>
      <c r="F38">
        <f>ArpsRate($J$1,$J$2,$J$3,E38)</f>
        <v>869.94761389518555</v>
      </c>
      <c r="G38" s="2">
        <f t="shared" si="0"/>
        <v>0.10922282281717641</v>
      </c>
    </row>
    <row r="39" spans="1:7" x14ac:dyDescent="0.35">
      <c r="A39" s="1">
        <v>42156</v>
      </c>
      <c r="B39">
        <v>9383</v>
      </c>
      <c r="C39">
        <v>10</v>
      </c>
      <c r="D39">
        <f>B39/C39</f>
        <v>938.3</v>
      </c>
      <c r="E39">
        <f>E40+A38-A39</f>
        <v>150</v>
      </c>
      <c r="F39">
        <f>ArpsRate($J$1,$J$2,$J$3,E39)</f>
        <v>954.69015652018413</v>
      </c>
      <c r="G39" s="2">
        <f t="shared" si="0"/>
        <v>1.7467927656596161E-2</v>
      </c>
    </row>
    <row r="40" spans="1:7" x14ac:dyDescent="0.35">
      <c r="A40" s="1">
        <v>42125</v>
      </c>
      <c r="B40">
        <v>27076</v>
      </c>
      <c r="C40">
        <v>29</v>
      </c>
      <c r="D40">
        <f>B40/C40</f>
        <v>933.65517241379314</v>
      </c>
      <c r="E40">
        <f>E41+A39-A40</f>
        <v>120</v>
      </c>
      <c r="F40">
        <f>ArpsRate($J$1,$J$2,$J$3,E40)</f>
        <v>1044.5593587662499</v>
      </c>
      <c r="G40" s="2">
        <f t="shared" si="0"/>
        <v>0.1187849536202263</v>
      </c>
    </row>
    <row r="41" spans="1:7" x14ac:dyDescent="0.35">
      <c r="A41" s="1">
        <v>42095</v>
      </c>
      <c r="B41">
        <v>28803</v>
      </c>
      <c r="C41">
        <v>29</v>
      </c>
      <c r="D41">
        <f>B41/C41</f>
        <v>993.20689655172418</v>
      </c>
      <c r="E41">
        <f>E42+A40-A41</f>
        <v>89</v>
      </c>
      <c r="F41">
        <f>ArpsRate($J$1,$J$2,$J$3,E41)</f>
        <v>1146.3305146870032</v>
      </c>
      <c r="G41" s="2">
        <f t="shared" si="0"/>
        <v>0.15417091712401801</v>
      </c>
    </row>
    <row r="42" spans="1:7" x14ac:dyDescent="0.35">
      <c r="A42" s="1">
        <v>42064</v>
      </c>
      <c r="B42">
        <v>25825</v>
      </c>
      <c r="C42">
        <v>20</v>
      </c>
      <c r="D42">
        <f>B42/C42</f>
        <v>1291.25</v>
      </c>
      <c r="E42">
        <f>E43+A41-A42</f>
        <v>59</v>
      </c>
      <c r="F42">
        <f>ArpsRate($J$1,$J$2,$J$3,E42)</f>
        <v>1254.2603150639038</v>
      </c>
      <c r="G42" s="2">
        <f t="shared" si="0"/>
        <v>2.8646416213820858E-2</v>
      </c>
    </row>
    <row r="43" spans="1:7" x14ac:dyDescent="0.35">
      <c r="A43" s="1">
        <v>42036</v>
      </c>
      <c r="B43">
        <v>21508</v>
      </c>
      <c r="C43">
        <v>16</v>
      </c>
      <c r="D43">
        <f>B43/C43</f>
        <v>1344.25</v>
      </c>
      <c r="E43">
        <f>A42-A43</f>
        <v>28</v>
      </c>
      <c r="F43">
        <f>ArpsRate($J$1,$J$2,$J$3,E43)</f>
        <v>1376.4859982964654</v>
      </c>
      <c r="G43" s="2">
        <f t="shared" si="0"/>
        <v>2.3980657092404961E-2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2"/>
  <sheetViews>
    <sheetView zoomScale="80" zoomScaleNormal="80" workbookViewId="0">
      <selection activeCell="K1" sqref="K1"/>
    </sheetView>
  </sheetViews>
  <sheetFormatPr defaultRowHeight="14.5" x14ac:dyDescent="0.35"/>
  <cols>
    <col min="1" max="1" width="9.726562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10</v>
      </c>
      <c r="E1" t="s">
        <v>9</v>
      </c>
      <c r="F1" t="s">
        <v>3</v>
      </c>
      <c r="G1" t="s">
        <v>4</v>
      </c>
      <c r="I1" t="s">
        <v>5</v>
      </c>
      <c r="J1">
        <v>1800</v>
      </c>
      <c r="K1" t="s">
        <v>8</v>
      </c>
      <c r="M1" t="s">
        <v>21</v>
      </c>
    </row>
    <row r="2" spans="1:15" x14ac:dyDescent="0.35">
      <c r="A2" s="1">
        <v>43313</v>
      </c>
      <c r="B2">
        <v>3713</v>
      </c>
      <c r="C2">
        <v>26</v>
      </c>
      <c r="D2">
        <f>B2/C2</f>
        <v>142.80769230769232</v>
      </c>
      <c r="E2">
        <f>E3+C2</f>
        <v>1030</v>
      </c>
      <c r="F2">
        <f>ArpsRate(J$1,$J$2,$J$3,E2)</f>
        <v>130.66231376242428</v>
      </c>
      <c r="G2" s="4">
        <f>(D2-F2)/D2</f>
        <v>8.5047089193904968E-2</v>
      </c>
      <c r="I2" t="s">
        <v>6</v>
      </c>
      <c r="J2">
        <v>7.4999999999999997E-3</v>
      </c>
      <c r="M2" t="s">
        <v>22</v>
      </c>
      <c r="N2" t="s">
        <v>23</v>
      </c>
      <c r="O2" t="s">
        <v>24</v>
      </c>
    </row>
    <row r="3" spans="1:15" x14ac:dyDescent="0.35">
      <c r="A3" s="1">
        <v>43282</v>
      </c>
      <c r="B3">
        <v>4497</v>
      </c>
      <c r="C3">
        <v>31</v>
      </c>
      <c r="D3">
        <f t="shared" ref="D3:D52" si="0">B3/C3</f>
        <v>145.06451612903226</v>
      </c>
      <c r="E3">
        <f t="shared" ref="E3:E50" si="1">E4+A2-A3</f>
        <v>1004</v>
      </c>
      <c r="F3">
        <f t="shared" ref="F3:F52" si="2">ArpsRate(J$1,$J$2,$J$3,E3)</f>
        <v>134.6707369568104</v>
      </c>
      <c r="G3" s="4">
        <f t="shared" ref="G3:G52" si="3">(D3-F3)/D3</f>
        <v>7.164935609047754E-2</v>
      </c>
      <c r="I3" t="s">
        <v>7</v>
      </c>
      <c r="J3">
        <v>0.71499999999999997</v>
      </c>
      <c r="M3">
        <f>E2</f>
        <v>1030</v>
      </c>
      <c r="N3">
        <f>ArpsRate($J$1,$J$2,$J$3,M3)</f>
        <v>130.66231376242428</v>
      </c>
      <c r="O3">
        <f>NominalDecline(J2,J3,M3)</f>
        <v>1.1497116140034877E-3</v>
      </c>
    </row>
    <row r="4" spans="1:15" x14ac:dyDescent="0.35">
      <c r="A4" s="1">
        <v>43252</v>
      </c>
      <c r="B4">
        <v>5165</v>
      </c>
      <c r="C4">
        <v>30</v>
      </c>
      <c r="D4">
        <f t="shared" si="0"/>
        <v>172.16666666666666</v>
      </c>
      <c r="E4">
        <f t="shared" si="1"/>
        <v>973</v>
      </c>
      <c r="F4">
        <f t="shared" si="2"/>
        <v>139.73319405728333</v>
      </c>
      <c r="G4" s="4">
        <f t="shared" si="3"/>
        <v>0.18838415842817036</v>
      </c>
      <c r="I4" t="s">
        <v>18</v>
      </c>
      <c r="J4">
        <v>50</v>
      </c>
      <c r="K4" t="s">
        <v>8</v>
      </c>
      <c r="M4">
        <v>1200</v>
      </c>
      <c r="N4">
        <f t="shared" ref="N4:N6" si="4">ArpsRate($J$1,$J$2,$J$3,M4)</f>
        <v>108.81724287230068</v>
      </c>
    </row>
    <row r="5" spans="1:15" x14ac:dyDescent="0.35">
      <c r="A5" s="1">
        <v>43221</v>
      </c>
      <c r="B5">
        <v>4972</v>
      </c>
      <c r="C5">
        <v>31</v>
      </c>
      <c r="D5">
        <f t="shared" si="0"/>
        <v>160.38709677419354</v>
      </c>
      <c r="E5">
        <f t="shared" si="1"/>
        <v>943</v>
      </c>
      <c r="F5">
        <f t="shared" si="2"/>
        <v>144.9513499901804</v>
      </c>
      <c r="G5" s="4">
        <f t="shared" si="3"/>
        <v>9.6240577293726301E-2</v>
      </c>
      <c r="I5" t="s">
        <v>19</v>
      </c>
      <c r="J5">
        <f>SUM(B:B)</f>
        <v>356255</v>
      </c>
      <c r="K5" t="s">
        <v>15</v>
      </c>
      <c r="M5">
        <v>1500</v>
      </c>
      <c r="N5">
        <f t="shared" si="4"/>
        <v>82.741251910894647</v>
      </c>
    </row>
    <row r="6" spans="1:15" x14ac:dyDescent="0.35">
      <c r="A6" s="1">
        <v>43191</v>
      </c>
      <c r="B6">
        <v>4408</v>
      </c>
      <c r="C6">
        <v>24</v>
      </c>
      <c r="D6">
        <f t="shared" si="0"/>
        <v>183.66666666666666</v>
      </c>
      <c r="E6">
        <f t="shared" si="1"/>
        <v>912</v>
      </c>
      <c r="F6">
        <f t="shared" si="2"/>
        <v>150.70452935183027</v>
      </c>
      <c r="G6" s="4">
        <f t="shared" si="3"/>
        <v>0.17946717231308376</v>
      </c>
      <c r="I6" t="s">
        <v>16</v>
      </c>
      <c r="J6">
        <f>cumulativeProduction(N3,J2,J3,J4)</f>
        <v>16735.111238703055</v>
      </c>
      <c r="K6" t="s">
        <v>15</v>
      </c>
      <c r="M6">
        <v>1800</v>
      </c>
      <c r="N6">
        <f t="shared" si="4"/>
        <v>65.807795146121109</v>
      </c>
    </row>
    <row r="7" spans="1:15" x14ac:dyDescent="0.35">
      <c r="A7" s="1">
        <v>43160</v>
      </c>
      <c r="B7">
        <v>5904</v>
      </c>
      <c r="C7">
        <v>30</v>
      </c>
      <c r="D7">
        <f t="shared" si="0"/>
        <v>196.8</v>
      </c>
      <c r="E7">
        <f t="shared" si="1"/>
        <v>882</v>
      </c>
      <c r="F7">
        <f t="shared" si="2"/>
        <v>156.65546222478255</v>
      </c>
      <c r="G7" s="4">
        <f t="shared" si="3"/>
        <v>0.20398647243504806</v>
      </c>
      <c r="I7" s="5" t="s">
        <v>17</v>
      </c>
      <c r="J7" s="6">
        <f>J5+J6</f>
        <v>372990.11123870307</v>
      </c>
      <c r="K7" s="7"/>
    </row>
    <row r="8" spans="1:15" x14ac:dyDescent="0.35">
      <c r="A8" s="1">
        <v>43132</v>
      </c>
      <c r="B8">
        <v>6383</v>
      </c>
      <c r="C8">
        <v>28</v>
      </c>
      <c r="D8">
        <f t="shared" si="0"/>
        <v>227.96428571428572</v>
      </c>
      <c r="E8">
        <f t="shared" si="1"/>
        <v>851</v>
      </c>
      <c r="F8">
        <f t="shared" si="2"/>
        <v>163.24090182172398</v>
      </c>
      <c r="G8" s="4">
        <f t="shared" si="3"/>
        <v>0.28391896427882324</v>
      </c>
    </row>
    <row r="9" spans="1:15" x14ac:dyDescent="0.35">
      <c r="A9" s="1">
        <v>43101</v>
      </c>
      <c r="B9">
        <v>6541</v>
      </c>
      <c r="C9">
        <v>31</v>
      </c>
      <c r="D9">
        <f t="shared" si="0"/>
        <v>211</v>
      </c>
      <c r="E9">
        <f t="shared" si="1"/>
        <v>823</v>
      </c>
      <c r="F9">
        <f t="shared" si="2"/>
        <v>169.60833240524079</v>
      </c>
      <c r="G9" s="4">
        <f t="shared" si="3"/>
        <v>0.19616904073345598</v>
      </c>
      <c r="I9" t="s">
        <v>20</v>
      </c>
      <c r="J9" s="3">
        <f>SUM(G2:G52)</f>
        <v>-2.106102208072179</v>
      </c>
    </row>
    <row r="10" spans="1:15" x14ac:dyDescent="0.35">
      <c r="A10" s="1">
        <v>43070</v>
      </c>
      <c r="B10">
        <v>6984</v>
      </c>
      <c r="C10">
        <v>31</v>
      </c>
      <c r="D10">
        <f t="shared" si="0"/>
        <v>225.29032258064515</v>
      </c>
      <c r="E10">
        <f t="shared" si="1"/>
        <v>792</v>
      </c>
      <c r="F10">
        <f t="shared" si="2"/>
        <v>177.17086589554529</v>
      </c>
      <c r="G10" s="4">
        <f t="shared" si="3"/>
        <v>0.2135886536709759</v>
      </c>
    </row>
    <row r="11" spans="1:15" x14ac:dyDescent="0.35">
      <c r="A11" s="1">
        <v>43040</v>
      </c>
      <c r="B11">
        <v>6656</v>
      </c>
      <c r="C11">
        <v>29</v>
      </c>
      <c r="D11">
        <f t="shared" si="0"/>
        <v>229.51724137931035</v>
      </c>
      <c r="E11">
        <f t="shared" si="1"/>
        <v>761</v>
      </c>
      <c r="F11">
        <f t="shared" si="2"/>
        <v>185.33071930737367</v>
      </c>
      <c r="G11" s="4">
        <f t="shared" si="3"/>
        <v>0.19251940205621448</v>
      </c>
    </row>
    <row r="12" spans="1:15" x14ac:dyDescent="0.35">
      <c r="A12" s="1">
        <v>43009</v>
      </c>
      <c r="B12">
        <v>3616</v>
      </c>
      <c r="C12">
        <v>22</v>
      </c>
      <c r="D12">
        <f t="shared" si="0"/>
        <v>164.36363636363637</v>
      </c>
      <c r="E12">
        <f t="shared" si="1"/>
        <v>731</v>
      </c>
      <c r="F12">
        <f t="shared" si="2"/>
        <v>193.8611067527651</v>
      </c>
      <c r="G12" s="4">
        <f t="shared" si="3"/>
        <v>-0.17946469816394686</v>
      </c>
    </row>
    <row r="13" spans="1:15" x14ac:dyDescent="0.35">
      <c r="A13" s="1">
        <v>42979</v>
      </c>
      <c r="B13">
        <v>5399</v>
      </c>
      <c r="C13">
        <v>30</v>
      </c>
      <c r="D13">
        <f t="shared" si="0"/>
        <v>179.96666666666667</v>
      </c>
      <c r="E13">
        <f t="shared" si="1"/>
        <v>700</v>
      </c>
      <c r="F13">
        <f t="shared" si="2"/>
        <v>203.40823682347994</v>
      </c>
      <c r="G13" s="4">
        <f t="shared" si="3"/>
        <v>-0.13025506662426339</v>
      </c>
    </row>
    <row r="14" spans="1:15" x14ac:dyDescent="0.35">
      <c r="A14" s="1">
        <v>42948</v>
      </c>
      <c r="B14">
        <v>5986</v>
      </c>
      <c r="C14">
        <v>31</v>
      </c>
      <c r="D14">
        <f t="shared" si="0"/>
        <v>193.09677419354838</v>
      </c>
      <c r="E14">
        <f t="shared" si="1"/>
        <v>670</v>
      </c>
      <c r="F14">
        <f t="shared" si="2"/>
        <v>213.44206870083826</v>
      </c>
      <c r="G14" s="4">
        <f t="shared" si="3"/>
        <v>-0.10536320242665992</v>
      </c>
    </row>
    <row r="15" spans="1:15" x14ac:dyDescent="0.35">
      <c r="A15" s="1">
        <v>42917</v>
      </c>
      <c r="B15">
        <v>4722</v>
      </c>
      <c r="C15">
        <v>31</v>
      </c>
      <c r="D15">
        <f t="shared" si="0"/>
        <v>152.32258064516128</v>
      </c>
      <c r="E15">
        <f t="shared" si="1"/>
        <v>639</v>
      </c>
      <c r="F15">
        <f t="shared" si="2"/>
        <v>224.73595652723483</v>
      </c>
      <c r="G15" s="4">
        <f t="shared" si="3"/>
        <v>-0.47539488613813646</v>
      </c>
    </row>
    <row r="16" spans="1:15" x14ac:dyDescent="0.35">
      <c r="A16" s="1">
        <v>42887</v>
      </c>
      <c r="B16">
        <v>4628</v>
      </c>
      <c r="C16">
        <v>30</v>
      </c>
      <c r="D16">
        <f t="shared" si="0"/>
        <v>154.26666666666668</v>
      </c>
      <c r="E16">
        <f t="shared" si="1"/>
        <v>608</v>
      </c>
      <c r="F16">
        <f t="shared" si="2"/>
        <v>237.09496366626595</v>
      </c>
      <c r="G16" s="4">
        <f t="shared" si="3"/>
        <v>-0.53691635911581204</v>
      </c>
    </row>
    <row r="17" spans="1:7" x14ac:dyDescent="0.35">
      <c r="A17" s="1">
        <v>42856</v>
      </c>
      <c r="B17">
        <v>5728</v>
      </c>
      <c r="C17">
        <v>31</v>
      </c>
      <c r="D17">
        <f t="shared" si="0"/>
        <v>184.7741935483871</v>
      </c>
      <c r="E17">
        <f t="shared" si="1"/>
        <v>578</v>
      </c>
      <c r="F17">
        <f t="shared" si="2"/>
        <v>250.20876553213222</v>
      </c>
      <c r="G17" s="4">
        <f t="shared" si="3"/>
        <v>-0.35413263468856471</v>
      </c>
    </row>
    <row r="18" spans="1:7" x14ac:dyDescent="0.35">
      <c r="A18" s="1">
        <v>42826</v>
      </c>
      <c r="B18">
        <v>4704</v>
      </c>
      <c r="C18">
        <v>30</v>
      </c>
      <c r="D18">
        <f t="shared" si="0"/>
        <v>156.80000000000001</v>
      </c>
      <c r="E18">
        <f t="shared" si="1"/>
        <v>547</v>
      </c>
      <c r="F18">
        <f t="shared" si="2"/>
        <v>265.12236339924601</v>
      </c>
      <c r="G18" s="4">
        <f t="shared" si="3"/>
        <v>-0.69083139922988512</v>
      </c>
    </row>
    <row r="19" spans="1:7" x14ac:dyDescent="0.35">
      <c r="A19" s="1">
        <v>42795</v>
      </c>
      <c r="B19">
        <v>7162</v>
      </c>
      <c r="C19">
        <v>27</v>
      </c>
      <c r="D19">
        <f t="shared" si="0"/>
        <v>265.25925925925924</v>
      </c>
      <c r="E19">
        <f t="shared" si="1"/>
        <v>517</v>
      </c>
      <c r="F19">
        <f t="shared" si="2"/>
        <v>281.06846390097434</v>
      </c>
      <c r="G19" s="4">
        <f t="shared" si="3"/>
        <v>-5.9599068043326958E-2</v>
      </c>
    </row>
    <row r="20" spans="1:7" x14ac:dyDescent="0.35">
      <c r="A20" s="1">
        <v>42767</v>
      </c>
      <c r="B20">
        <v>6474</v>
      </c>
      <c r="C20">
        <v>27</v>
      </c>
      <c r="D20">
        <f t="shared" si="0"/>
        <v>239.77777777777777</v>
      </c>
      <c r="E20">
        <f t="shared" si="1"/>
        <v>486</v>
      </c>
      <c r="F20">
        <f t="shared" si="2"/>
        <v>299.35469502787828</v>
      </c>
      <c r="G20" s="4">
        <f t="shared" si="3"/>
        <v>-0.2484672174471291</v>
      </c>
    </row>
    <row r="21" spans="1:7" x14ac:dyDescent="0.35">
      <c r="A21" s="1">
        <v>42736</v>
      </c>
      <c r="B21">
        <v>9829</v>
      </c>
      <c r="C21">
        <v>31</v>
      </c>
      <c r="D21">
        <f t="shared" si="0"/>
        <v>317.06451612903226</v>
      </c>
      <c r="E21">
        <f t="shared" si="1"/>
        <v>458</v>
      </c>
      <c r="F21">
        <f t="shared" si="2"/>
        <v>317.70067234870601</v>
      </c>
      <c r="G21" s="4">
        <f t="shared" si="3"/>
        <v>-2.0063936117495451E-3</v>
      </c>
    </row>
    <row r="22" spans="1:7" x14ac:dyDescent="0.35">
      <c r="A22" s="1">
        <v>42705</v>
      </c>
      <c r="B22">
        <v>9057</v>
      </c>
      <c r="C22">
        <v>29</v>
      </c>
      <c r="D22">
        <f t="shared" si="0"/>
        <v>312.31034482758622</v>
      </c>
      <c r="E22">
        <f t="shared" si="1"/>
        <v>427</v>
      </c>
      <c r="F22">
        <f t="shared" si="2"/>
        <v>340.37749064531732</v>
      </c>
      <c r="G22" s="4">
        <f t="shared" si="3"/>
        <v>-8.9869408050590918E-2</v>
      </c>
    </row>
    <row r="23" spans="1:7" x14ac:dyDescent="0.35">
      <c r="A23" s="1">
        <v>42675</v>
      </c>
      <c r="B23">
        <v>10875</v>
      </c>
      <c r="C23">
        <v>30</v>
      </c>
      <c r="D23">
        <f t="shared" si="0"/>
        <v>362.5</v>
      </c>
      <c r="E23">
        <f t="shared" si="1"/>
        <v>396</v>
      </c>
      <c r="F23">
        <f t="shared" si="2"/>
        <v>365.97925938725052</v>
      </c>
      <c r="G23" s="4">
        <f t="shared" si="3"/>
        <v>-9.5979569303462683E-3</v>
      </c>
    </row>
    <row r="24" spans="1:7" x14ac:dyDescent="0.35">
      <c r="A24" s="1">
        <v>42644</v>
      </c>
      <c r="B24">
        <v>12135</v>
      </c>
      <c r="C24">
        <v>31</v>
      </c>
      <c r="D24">
        <f t="shared" si="0"/>
        <v>391.45161290322579</v>
      </c>
      <c r="E24">
        <f t="shared" si="1"/>
        <v>366</v>
      </c>
      <c r="F24">
        <f t="shared" si="2"/>
        <v>394.07109904838933</v>
      </c>
      <c r="G24" s="4">
        <f t="shared" si="3"/>
        <v>-6.6917239802282303E-3</v>
      </c>
    </row>
    <row r="25" spans="1:7" x14ac:dyDescent="0.35">
      <c r="A25" s="1">
        <v>42614</v>
      </c>
      <c r="B25">
        <v>11200</v>
      </c>
      <c r="C25">
        <v>30</v>
      </c>
      <c r="D25">
        <f t="shared" si="0"/>
        <v>373.33333333333331</v>
      </c>
      <c r="E25">
        <f t="shared" si="1"/>
        <v>335</v>
      </c>
      <c r="F25">
        <f t="shared" si="2"/>
        <v>427.21841393922557</v>
      </c>
      <c r="G25" s="4">
        <f t="shared" si="3"/>
        <v>-0.1443350373372114</v>
      </c>
    </row>
    <row r="26" spans="1:7" x14ac:dyDescent="0.35">
      <c r="A26" s="1">
        <v>42583</v>
      </c>
      <c r="B26">
        <v>14465</v>
      </c>
      <c r="C26">
        <v>30</v>
      </c>
      <c r="D26">
        <f t="shared" si="0"/>
        <v>482.16666666666669</v>
      </c>
      <c r="E26">
        <f t="shared" si="1"/>
        <v>305</v>
      </c>
      <c r="F26">
        <f t="shared" si="2"/>
        <v>464.12877192001315</v>
      </c>
      <c r="G26" s="4">
        <f t="shared" si="3"/>
        <v>3.7410082433432842E-2</v>
      </c>
    </row>
    <row r="27" spans="1:7" x14ac:dyDescent="0.35">
      <c r="A27" s="1">
        <v>42552</v>
      </c>
      <c r="B27">
        <v>14160</v>
      </c>
      <c r="C27">
        <v>28</v>
      </c>
      <c r="D27">
        <f t="shared" si="0"/>
        <v>505.71428571428572</v>
      </c>
      <c r="E27">
        <f t="shared" si="1"/>
        <v>274</v>
      </c>
      <c r="F27">
        <f t="shared" si="2"/>
        <v>508.40757296006683</v>
      </c>
      <c r="G27" s="4">
        <f t="shared" si="3"/>
        <v>-5.3257092430699857E-3</v>
      </c>
    </row>
    <row r="28" spans="1:7" x14ac:dyDescent="0.35">
      <c r="A28" s="1">
        <v>42522</v>
      </c>
      <c r="B28">
        <v>10467</v>
      </c>
      <c r="C28">
        <v>23</v>
      </c>
      <c r="D28">
        <f t="shared" si="0"/>
        <v>455.08695652173913</v>
      </c>
      <c r="E28">
        <f t="shared" si="1"/>
        <v>243</v>
      </c>
      <c r="F28">
        <f t="shared" si="2"/>
        <v>560.45999618558938</v>
      </c>
      <c r="G28" s="4">
        <f t="shared" si="3"/>
        <v>-0.23154484687766846</v>
      </c>
    </row>
    <row r="29" spans="1:7" x14ac:dyDescent="0.35">
      <c r="A29" s="1">
        <v>42491</v>
      </c>
      <c r="B29">
        <v>14869</v>
      </c>
      <c r="C29">
        <v>26</v>
      </c>
      <c r="D29">
        <f t="shared" si="0"/>
        <v>571.88461538461536</v>
      </c>
      <c r="E29">
        <f t="shared" si="1"/>
        <v>213</v>
      </c>
      <c r="F29">
        <f t="shared" si="2"/>
        <v>620.1941724518033</v>
      </c>
      <c r="G29" s="4">
        <f t="shared" si="3"/>
        <v>-8.4474307871873461E-2</v>
      </c>
    </row>
    <row r="30" spans="1:7" x14ac:dyDescent="0.35">
      <c r="A30" s="1">
        <v>42461</v>
      </c>
      <c r="B30">
        <v>18282</v>
      </c>
      <c r="C30">
        <v>29</v>
      </c>
      <c r="D30">
        <f t="shared" si="0"/>
        <v>630.41379310344826</v>
      </c>
      <c r="E30">
        <f t="shared" si="1"/>
        <v>182</v>
      </c>
      <c r="F30">
        <f t="shared" si="2"/>
        <v>694.37193870823671</v>
      </c>
      <c r="G30" s="4">
        <f t="shared" si="3"/>
        <v>-0.10145422943544827</v>
      </c>
    </row>
    <row r="31" spans="1:7" x14ac:dyDescent="0.35">
      <c r="A31" s="1">
        <v>42430</v>
      </c>
      <c r="B31">
        <v>20980</v>
      </c>
      <c r="C31">
        <v>31</v>
      </c>
      <c r="D31">
        <f t="shared" si="0"/>
        <v>676.77419354838707</v>
      </c>
      <c r="E31">
        <f t="shared" si="1"/>
        <v>152</v>
      </c>
      <c r="F31">
        <f t="shared" si="2"/>
        <v>781.94070999011296</v>
      </c>
      <c r="G31" s="4">
        <f t="shared" si="3"/>
        <v>-0.15539380408453302</v>
      </c>
    </row>
    <row r="32" spans="1:7" x14ac:dyDescent="0.35">
      <c r="A32" s="1">
        <v>42401</v>
      </c>
      <c r="B32">
        <v>21661</v>
      </c>
      <c r="C32">
        <v>29</v>
      </c>
      <c r="D32">
        <f t="shared" si="0"/>
        <v>746.93103448275861</v>
      </c>
      <c r="E32">
        <f t="shared" si="1"/>
        <v>121</v>
      </c>
      <c r="F32">
        <f t="shared" si="2"/>
        <v>894.3716866573036</v>
      </c>
      <c r="G32" s="4">
        <f t="shared" si="3"/>
        <v>-0.19739526859617768</v>
      </c>
    </row>
    <row r="33" spans="1:7" x14ac:dyDescent="0.35">
      <c r="A33" s="1">
        <v>42370</v>
      </c>
      <c r="B33">
        <v>27485</v>
      </c>
      <c r="C33">
        <v>30</v>
      </c>
      <c r="D33">
        <f t="shared" si="0"/>
        <v>916.16666666666663</v>
      </c>
      <c r="E33">
        <f t="shared" si="1"/>
        <v>92</v>
      </c>
      <c r="F33">
        <f t="shared" si="2"/>
        <v>1027.2823795962963</v>
      </c>
      <c r="G33" s="4">
        <f t="shared" si="3"/>
        <v>-0.12128329590281575</v>
      </c>
    </row>
    <row r="34" spans="1:7" x14ac:dyDescent="0.35">
      <c r="A34" s="1">
        <v>42339</v>
      </c>
      <c r="B34">
        <v>33757</v>
      </c>
      <c r="C34">
        <v>31</v>
      </c>
      <c r="D34">
        <f t="shared" si="0"/>
        <v>1088.9354838709678</v>
      </c>
      <c r="E34">
        <f t="shared" si="1"/>
        <v>61</v>
      </c>
      <c r="F34">
        <f t="shared" si="2"/>
        <v>1211.6399052235354</v>
      </c>
      <c r="G34" s="4">
        <f t="shared" si="3"/>
        <v>-0.1126829120457859</v>
      </c>
    </row>
    <row r="35" spans="1:7" x14ac:dyDescent="0.35">
      <c r="A35" s="1">
        <v>42309</v>
      </c>
      <c r="B35">
        <v>23391</v>
      </c>
      <c r="C35">
        <v>13</v>
      </c>
      <c r="D35">
        <f t="shared" si="0"/>
        <v>1799.3076923076924</v>
      </c>
      <c r="E35">
        <f t="shared" si="1"/>
        <v>30</v>
      </c>
      <c r="F35">
        <f t="shared" si="2"/>
        <v>1461.0445956345773</v>
      </c>
      <c r="G35" s="4">
        <f t="shared" si="3"/>
        <v>0.1879962488457311</v>
      </c>
    </row>
    <row r="36" spans="1:7" x14ac:dyDescent="0.35">
      <c r="G36" s="4"/>
    </row>
    <row r="37" spans="1:7" x14ac:dyDescent="0.35">
      <c r="G37" s="4"/>
    </row>
    <row r="38" spans="1:7" x14ac:dyDescent="0.35">
      <c r="G38" s="4"/>
    </row>
    <row r="39" spans="1:7" x14ac:dyDescent="0.35">
      <c r="G39" s="4"/>
    </row>
    <row r="40" spans="1:7" x14ac:dyDescent="0.35">
      <c r="G40" s="4"/>
    </row>
    <row r="41" spans="1:7" x14ac:dyDescent="0.35">
      <c r="G41" s="4"/>
    </row>
    <row r="42" spans="1:7" x14ac:dyDescent="0.35">
      <c r="G42" s="4"/>
    </row>
    <row r="43" spans="1:7" x14ac:dyDescent="0.35">
      <c r="G43" s="4"/>
    </row>
    <row r="44" spans="1:7" x14ac:dyDescent="0.35">
      <c r="G44" s="4"/>
    </row>
    <row r="45" spans="1:7" x14ac:dyDescent="0.35">
      <c r="G45" s="4"/>
    </row>
    <row r="46" spans="1:7" x14ac:dyDescent="0.35">
      <c r="G46" s="4"/>
    </row>
    <row r="47" spans="1:7" x14ac:dyDescent="0.35">
      <c r="G47" s="4"/>
    </row>
    <row r="48" spans="1:7" x14ac:dyDescent="0.35">
      <c r="G48" s="4"/>
    </row>
    <row r="49" spans="7:7" x14ac:dyDescent="0.35">
      <c r="G49" s="4"/>
    </row>
    <row r="50" spans="7:7" x14ac:dyDescent="0.35">
      <c r="G50" s="4"/>
    </row>
    <row r="51" spans="7:7" x14ac:dyDescent="0.35">
      <c r="G51" s="4"/>
    </row>
    <row r="52" spans="7:7" x14ac:dyDescent="0.35">
      <c r="G5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52"/>
  <sheetViews>
    <sheetView topLeftCell="A2" zoomScale="80" zoomScaleNormal="80" workbookViewId="0">
      <selection activeCell="L27" sqref="L27"/>
    </sheetView>
  </sheetViews>
  <sheetFormatPr defaultRowHeight="14.5" x14ac:dyDescent="0.35"/>
  <cols>
    <col min="1" max="1" width="9.726562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10</v>
      </c>
      <c r="E1" t="s">
        <v>9</v>
      </c>
      <c r="F1" t="s">
        <v>3</v>
      </c>
      <c r="G1" t="s">
        <v>4</v>
      </c>
      <c r="I1" t="s">
        <v>5</v>
      </c>
      <c r="J1">
        <v>1400</v>
      </c>
      <c r="K1" t="s">
        <v>8</v>
      </c>
      <c r="M1" t="s">
        <v>21</v>
      </c>
    </row>
    <row r="2" spans="1:15" x14ac:dyDescent="0.35">
      <c r="A2" s="1">
        <v>43313</v>
      </c>
      <c r="B2">
        <v>4461</v>
      </c>
      <c r="C2">
        <v>31</v>
      </c>
      <c r="D2">
        <f>B2/C2</f>
        <v>143.90322580645162</v>
      </c>
      <c r="E2">
        <f>E3+C2</f>
        <v>1035</v>
      </c>
      <c r="F2">
        <f>ArpsRate(J$1,$J$2,$J$3,E2)</f>
        <v>140.30757709159462</v>
      </c>
      <c r="G2" s="4">
        <f>(D2-F2)/D2</f>
        <v>2.4986574795016085E-2</v>
      </c>
      <c r="I2" t="s">
        <v>6</v>
      </c>
      <c r="J2">
        <v>7.0000000000000001E-3</v>
      </c>
      <c r="M2" t="s">
        <v>22</v>
      </c>
      <c r="N2" t="s">
        <v>23</v>
      </c>
      <c r="O2" t="s">
        <v>24</v>
      </c>
    </row>
    <row r="3" spans="1:15" x14ac:dyDescent="0.35">
      <c r="A3" s="1">
        <v>43282</v>
      </c>
      <c r="B3">
        <v>4753</v>
      </c>
      <c r="C3">
        <v>31</v>
      </c>
      <c r="D3">
        <f t="shared" ref="D3:D35" si="0">B3/C3</f>
        <v>153.32258064516128</v>
      </c>
      <c r="E3">
        <f t="shared" ref="E3:E50" si="1">E4+A2-A3</f>
        <v>1004</v>
      </c>
      <c r="F3">
        <f t="shared" ref="F3:F35" si="2">ArpsRate(J$1,$J$2,$J$3,E3)</f>
        <v>144.63914638303089</v>
      </c>
      <c r="G3" s="4">
        <f t="shared" ref="G3:G35" si="3">(D3-F3)/D3</f>
        <v>5.66350646173032E-2</v>
      </c>
      <c r="I3" t="s">
        <v>7</v>
      </c>
      <c r="J3">
        <v>0.86</v>
      </c>
      <c r="M3">
        <f>E2</f>
        <v>1035</v>
      </c>
      <c r="N3">
        <f>ArpsRate($J$1,$J$2,$J$3,M3)</f>
        <v>140.30757709159462</v>
      </c>
      <c r="O3">
        <f>NominalDecline(J2,J3,M3)</f>
        <v>9.6809437537167902E-4</v>
      </c>
    </row>
    <row r="4" spans="1:15" x14ac:dyDescent="0.35">
      <c r="A4" s="1">
        <v>43252</v>
      </c>
      <c r="B4">
        <v>4605</v>
      </c>
      <c r="C4">
        <v>30</v>
      </c>
      <c r="D4">
        <f t="shared" si="0"/>
        <v>153.5</v>
      </c>
      <c r="E4">
        <f t="shared" si="1"/>
        <v>973</v>
      </c>
      <c r="F4">
        <f t="shared" si="2"/>
        <v>149.2262235370124</v>
      </c>
      <c r="G4" s="4">
        <f t="shared" si="3"/>
        <v>2.7842191941287286E-2</v>
      </c>
      <c r="I4" t="s">
        <v>18</v>
      </c>
      <c r="J4">
        <v>50</v>
      </c>
      <c r="K4" t="s">
        <v>8</v>
      </c>
      <c r="M4">
        <v>1200</v>
      </c>
      <c r="N4">
        <f t="shared" ref="N4:N6" si="4">ArpsRate($J$1,$J$2,$J$3,M4)</f>
        <v>120.80305503908995</v>
      </c>
    </row>
    <row r="5" spans="1:15" x14ac:dyDescent="0.35">
      <c r="A5" s="1">
        <v>43221</v>
      </c>
      <c r="B5">
        <v>5166</v>
      </c>
      <c r="C5">
        <v>31</v>
      </c>
      <c r="D5">
        <f t="shared" si="0"/>
        <v>166.64516129032259</v>
      </c>
      <c r="E5">
        <f t="shared" si="1"/>
        <v>943</v>
      </c>
      <c r="F5">
        <f t="shared" si="2"/>
        <v>153.9299295051664</v>
      </c>
      <c r="G5" s="4">
        <f t="shared" si="3"/>
        <v>7.630123603171543E-2</v>
      </c>
      <c r="I5" t="s">
        <v>19</v>
      </c>
      <c r="J5">
        <f>SUM(B:B)</f>
        <v>344888</v>
      </c>
      <c r="K5" t="s">
        <v>15</v>
      </c>
      <c r="M5">
        <v>1500</v>
      </c>
      <c r="N5">
        <f t="shared" si="4"/>
        <v>95.901328895524969</v>
      </c>
    </row>
    <row r="6" spans="1:15" x14ac:dyDescent="0.35">
      <c r="A6" s="1">
        <v>43191</v>
      </c>
      <c r="B6">
        <v>3513</v>
      </c>
      <c r="C6">
        <v>23</v>
      </c>
      <c r="D6">
        <f t="shared" si="0"/>
        <v>152.7391304347826</v>
      </c>
      <c r="E6">
        <f t="shared" si="1"/>
        <v>912</v>
      </c>
      <c r="F6">
        <f t="shared" si="2"/>
        <v>159.08849878476437</v>
      </c>
      <c r="G6" s="4">
        <f t="shared" si="3"/>
        <v>-4.1570017662846799E-2</v>
      </c>
      <c r="I6" t="s">
        <v>16</v>
      </c>
      <c r="J6">
        <f>cumulativeProduction(N3,J2,J3,J4)</f>
        <v>20681.617209403303</v>
      </c>
      <c r="K6" t="s">
        <v>15</v>
      </c>
      <c r="M6">
        <v>1800</v>
      </c>
      <c r="N6">
        <f t="shared" si="4"/>
        <v>79.107069333476105</v>
      </c>
    </row>
    <row r="7" spans="1:15" x14ac:dyDescent="0.35">
      <c r="A7" s="1">
        <v>43160</v>
      </c>
      <c r="B7">
        <v>5377</v>
      </c>
      <c r="C7">
        <v>31</v>
      </c>
      <c r="D7">
        <f t="shared" si="0"/>
        <v>173.45161290322579</v>
      </c>
      <c r="E7">
        <f t="shared" si="1"/>
        <v>882</v>
      </c>
      <c r="F7">
        <f t="shared" si="2"/>
        <v>164.39558529536939</v>
      </c>
      <c r="G7" s="4">
        <f t="shared" si="3"/>
        <v>5.221068548327109E-2</v>
      </c>
      <c r="I7" s="5" t="s">
        <v>17</v>
      </c>
      <c r="J7" s="6">
        <f>J5+J6</f>
        <v>365569.61720940331</v>
      </c>
      <c r="K7" s="7"/>
    </row>
    <row r="8" spans="1:15" x14ac:dyDescent="0.35">
      <c r="A8" s="1">
        <v>43132</v>
      </c>
      <c r="B8">
        <v>4278</v>
      </c>
      <c r="C8">
        <v>28</v>
      </c>
      <c r="D8">
        <f t="shared" si="0"/>
        <v>152.78571428571428</v>
      </c>
      <c r="E8">
        <f t="shared" si="1"/>
        <v>851</v>
      </c>
      <c r="F8">
        <f t="shared" si="2"/>
        <v>170.23610179882203</v>
      </c>
      <c r="G8" s="4">
        <f t="shared" si="3"/>
        <v>-0.11421478503202834</v>
      </c>
    </row>
    <row r="9" spans="1:15" x14ac:dyDescent="0.35">
      <c r="A9" s="1">
        <v>43101</v>
      </c>
      <c r="B9">
        <v>5832</v>
      </c>
      <c r="C9">
        <v>31</v>
      </c>
      <c r="D9">
        <f t="shared" si="0"/>
        <v>188.12903225806451</v>
      </c>
      <c r="E9">
        <f t="shared" si="1"/>
        <v>823</v>
      </c>
      <c r="F9">
        <f t="shared" si="2"/>
        <v>175.8524897577208</v>
      </c>
      <c r="G9" s="4">
        <f t="shared" si="3"/>
        <v>6.5255970080702164E-2</v>
      </c>
      <c r="I9" t="s">
        <v>20</v>
      </c>
      <c r="J9" s="3">
        <f>SUM(G2:G52)</f>
        <v>-0.75755976664470026</v>
      </c>
    </row>
    <row r="10" spans="1:15" x14ac:dyDescent="0.35">
      <c r="A10" s="1">
        <v>43070</v>
      </c>
      <c r="B10">
        <v>5328</v>
      </c>
      <c r="C10">
        <v>31</v>
      </c>
      <c r="D10">
        <f t="shared" si="0"/>
        <v>171.87096774193549</v>
      </c>
      <c r="E10">
        <f t="shared" si="1"/>
        <v>792</v>
      </c>
      <c r="F10">
        <f t="shared" si="2"/>
        <v>182.48575160827829</v>
      </c>
      <c r="G10" s="4">
        <f t="shared" si="3"/>
        <v>-6.1760191414532081E-2</v>
      </c>
    </row>
    <row r="11" spans="1:15" x14ac:dyDescent="0.35">
      <c r="A11" s="1">
        <v>43040</v>
      </c>
      <c r="B11">
        <v>5362</v>
      </c>
      <c r="C11">
        <v>29</v>
      </c>
      <c r="D11">
        <f t="shared" si="0"/>
        <v>184.89655172413794</v>
      </c>
      <c r="E11">
        <f t="shared" si="1"/>
        <v>761</v>
      </c>
      <c r="F11">
        <f t="shared" si="2"/>
        <v>189.60000125326482</v>
      </c>
      <c r="G11" s="4">
        <f t="shared" si="3"/>
        <v>-2.5438276080693711E-2</v>
      </c>
    </row>
    <row r="12" spans="1:15" x14ac:dyDescent="0.35">
      <c r="A12" s="1">
        <v>43009</v>
      </c>
      <c r="B12">
        <v>6690</v>
      </c>
      <c r="C12">
        <v>31</v>
      </c>
      <c r="D12">
        <f t="shared" si="0"/>
        <v>215.80645161290323</v>
      </c>
      <c r="E12">
        <f t="shared" si="1"/>
        <v>731</v>
      </c>
      <c r="F12">
        <f t="shared" si="2"/>
        <v>196.99237095847775</v>
      </c>
      <c r="G12" s="4">
        <f t="shared" si="3"/>
        <v>8.7180343839639754E-2</v>
      </c>
    </row>
    <row r="13" spans="1:15" x14ac:dyDescent="0.35">
      <c r="A13" s="1">
        <v>42979</v>
      </c>
      <c r="B13">
        <v>6282</v>
      </c>
      <c r="C13">
        <v>30</v>
      </c>
      <c r="D13">
        <f t="shared" si="0"/>
        <v>209.4</v>
      </c>
      <c r="E13">
        <f t="shared" si="1"/>
        <v>700</v>
      </c>
      <c r="F13">
        <f t="shared" si="2"/>
        <v>205.21459130590782</v>
      </c>
      <c r="G13" s="4">
        <f t="shared" si="3"/>
        <v>1.9987625091175687E-2</v>
      </c>
    </row>
    <row r="14" spans="1:15" x14ac:dyDescent="0.35">
      <c r="A14" s="1">
        <v>42948</v>
      </c>
      <c r="B14">
        <v>6596</v>
      </c>
      <c r="C14">
        <v>31</v>
      </c>
      <c r="D14">
        <f t="shared" si="0"/>
        <v>212.7741935483871</v>
      </c>
      <c r="E14">
        <f t="shared" si="1"/>
        <v>670</v>
      </c>
      <c r="F14">
        <f t="shared" si="2"/>
        <v>213.80116957186038</v>
      </c>
      <c r="G14" s="4">
        <f t="shared" si="3"/>
        <v>-4.8266004741770348E-3</v>
      </c>
    </row>
    <row r="15" spans="1:15" x14ac:dyDescent="0.35">
      <c r="A15" s="1">
        <v>42917</v>
      </c>
      <c r="B15">
        <v>9319</v>
      </c>
      <c r="C15">
        <v>31</v>
      </c>
      <c r="D15">
        <f t="shared" si="0"/>
        <v>300.61290322580646</v>
      </c>
      <c r="E15">
        <f t="shared" si="1"/>
        <v>639</v>
      </c>
      <c r="F15">
        <f t="shared" si="2"/>
        <v>223.40315723058035</v>
      </c>
      <c r="G15" s="4">
        <f t="shared" si="3"/>
        <v>0.25684109087369988</v>
      </c>
    </row>
    <row r="16" spans="1:15" x14ac:dyDescent="0.35">
      <c r="A16" s="1">
        <v>42887</v>
      </c>
      <c r="B16">
        <v>7818</v>
      </c>
      <c r="C16">
        <v>30</v>
      </c>
      <c r="D16">
        <f t="shared" si="0"/>
        <v>260.60000000000002</v>
      </c>
      <c r="E16">
        <f t="shared" si="1"/>
        <v>608</v>
      </c>
      <c r="F16">
        <f t="shared" si="2"/>
        <v>233.83944455350078</v>
      </c>
      <c r="G16" s="4">
        <f t="shared" si="3"/>
        <v>0.10268824039332017</v>
      </c>
    </row>
    <row r="17" spans="1:7" x14ac:dyDescent="0.35">
      <c r="A17" s="1">
        <v>42856</v>
      </c>
      <c r="B17">
        <v>7919</v>
      </c>
      <c r="C17">
        <v>31</v>
      </c>
      <c r="D17">
        <f t="shared" si="0"/>
        <v>255.45161290322579</v>
      </c>
      <c r="E17">
        <f t="shared" si="1"/>
        <v>578</v>
      </c>
      <c r="F17">
        <f t="shared" si="2"/>
        <v>244.83732133858251</v>
      </c>
      <c r="G17" s="4">
        <f t="shared" si="3"/>
        <v>4.1551084544000721E-2</v>
      </c>
    </row>
    <row r="18" spans="1:7" x14ac:dyDescent="0.35">
      <c r="A18" s="1">
        <v>42826</v>
      </c>
      <c r="B18">
        <v>7220</v>
      </c>
      <c r="C18">
        <v>30</v>
      </c>
      <c r="D18">
        <f t="shared" si="0"/>
        <v>240.66666666666666</v>
      </c>
      <c r="E18">
        <f t="shared" si="1"/>
        <v>547</v>
      </c>
      <c r="F18">
        <f t="shared" si="2"/>
        <v>257.25665516163389</v>
      </c>
      <c r="G18" s="4">
        <f t="shared" si="3"/>
        <v>-6.893347020069486E-2</v>
      </c>
    </row>
    <row r="19" spans="1:7" x14ac:dyDescent="0.35">
      <c r="A19" s="1">
        <v>42795</v>
      </c>
      <c r="B19">
        <v>8787</v>
      </c>
      <c r="C19">
        <v>31</v>
      </c>
      <c r="D19">
        <f t="shared" si="0"/>
        <v>283.45161290322579</v>
      </c>
      <c r="E19">
        <f t="shared" si="1"/>
        <v>517</v>
      </c>
      <c r="F19">
        <f t="shared" si="2"/>
        <v>270.44007180748537</v>
      </c>
      <c r="G19" s="4">
        <f t="shared" si="3"/>
        <v>4.5903923292130791E-2</v>
      </c>
    </row>
    <row r="20" spans="1:7" x14ac:dyDescent="0.35">
      <c r="A20" s="1">
        <v>42767</v>
      </c>
      <c r="B20">
        <v>9467</v>
      </c>
      <c r="C20">
        <v>28</v>
      </c>
      <c r="D20">
        <f t="shared" si="0"/>
        <v>338.10714285714283</v>
      </c>
      <c r="E20">
        <f t="shared" si="1"/>
        <v>486</v>
      </c>
      <c r="F20">
        <f t="shared" si="2"/>
        <v>285.44614002654777</v>
      </c>
      <c r="G20" s="4">
        <f t="shared" si="3"/>
        <v>0.15575241145628627</v>
      </c>
    </row>
    <row r="21" spans="1:7" x14ac:dyDescent="0.35">
      <c r="A21" s="1">
        <v>42736</v>
      </c>
      <c r="B21">
        <v>9280</v>
      </c>
      <c r="C21">
        <v>31</v>
      </c>
      <c r="D21">
        <f t="shared" si="0"/>
        <v>299.35483870967744</v>
      </c>
      <c r="E21">
        <f t="shared" si="1"/>
        <v>458</v>
      </c>
      <c r="F21">
        <f t="shared" si="2"/>
        <v>300.39073645578918</v>
      </c>
      <c r="G21" s="4">
        <f t="shared" si="3"/>
        <v>-3.4604342811922458E-3</v>
      </c>
    </row>
    <row r="22" spans="1:7" x14ac:dyDescent="0.35">
      <c r="A22" s="1">
        <v>42705</v>
      </c>
      <c r="B22">
        <v>8006</v>
      </c>
      <c r="C22">
        <v>26</v>
      </c>
      <c r="D22">
        <f t="shared" si="0"/>
        <v>307.92307692307691</v>
      </c>
      <c r="E22">
        <f t="shared" si="1"/>
        <v>427</v>
      </c>
      <c r="F22">
        <f t="shared" si="2"/>
        <v>318.72358027639291</v>
      </c>
      <c r="G22" s="4">
        <f t="shared" si="3"/>
        <v>-3.5075329401226089E-2</v>
      </c>
    </row>
    <row r="23" spans="1:7" x14ac:dyDescent="0.35">
      <c r="A23" s="1">
        <v>42675</v>
      </c>
      <c r="B23">
        <v>8629</v>
      </c>
      <c r="C23">
        <v>29</v>
      </c>
      <c r="D23">
        <f t="shared" si="0"/>
        <v>297.55172413793105</v>
      </c>
      <c r="E23">
        <f t="shared" si="1"/>
        <v>396</v>
      </c>
      <c r="F23">
        <f t="shared" si="2"/>
        <v>339.25267681984769</v>
      </c>
      <c r="G23" s="4">
        <f t="shared" si="3"/>
        <v>-0.14014690320727577</v>
      </c>
    </row>
    <row r="24" spans="1:7" x14ac:dyDescent="0.35">
      <c r="A24" s="1">
        <v>42644</v>
      </c>
      <c r="B24">
        <v>8743</v>
      </c>
      <c r="C24">
        <v>31</v>
      </c>
      <c r="D24">
        <f t="shared" si="0"/>
        <v>282.03225806451616</v>
      </c>
      <c r="E24">
        <f t="shared" si="1"/>
        <v>366</v>
      </c>
      <c r="F24">
        <f t="shared" si="2"/>
        <v>361.59355471355775</v>
      </c>
      <c r="G24" s="4">
        <f t="shared" si="3"/>
        <v>-0.28209998811852788</v>
      </c>
    </row>
    <row r="25" spans="1:7" x14ac:dyDescent="0.35">
      <c r="A25" s="1">
        <v>42614</v>
      </c>
      <c r="B25">
        <v>11224</v>
      </c>
      <c r="C25">
        <v>30</v>
      </c>
      <c r="D25">
        <f t="shared" si="0"/>
        <v>374.13333333333333</v>
      </c>
      <c r="E25">
        <f t="shared" si="1"/>
        <v>335</v>
      </c>
      <c r="F25">
        <f t="shared" si="2"/>
        <v>387.7328018400533</v>
      </c>
      <c r="G25" s="4">
        <f t="shared" si="3"/>
        <v>-3.6349256521881611E-2</v>
      </c>
    </row>
    <row r="26" spans="1:7" x14ac:dyDescent="0.35">
      <c r="A26" s="1">
        <v>42583</v>
      </c>
      <c r="B26">
        <v>12063</v>
      </c>
      <c r="C26">
        <v>30</v>
      </c>
      <c r="D26">
        <f t="shared" si="0"/>
        <v>402.1</v>
      </c>
      <c r="E26">
        <f t="shared" si="1"/>
        <v>305</v>
      </c>
      <c r="F26">
        <f t="shared" si="2"/>
        <v>416.58884866277157</v>
      </c>
      <c r="G26" s="4">
        <f t="shared" si="3"/>
        <v>-3.6032948676377879E-2</v>
      </c>
    </row>
    <row r="27" spans="1:7" x14ac:dyDescent="0.35">
      <c r="A27" s="1">
        <v>42552</v>
      </c>
      <c r="B27">
        <v>9813</v>
      </c>
      <c r="C27">
        <v>29</v>
      </c>
      <c r="D27">
        <f t="shared" si="0"/>
        <v>338.37931034482756</v>
      </c>
      <c r="E27">
        <f t="shared" si="1"/>
        <v>274</v>
      </c>
      <c r="F27">
        <f t="shared" si="2"/>
        <v>450.90055870923237</v>
      </c>
      <c r="G27" s="4">
        <f t="shared" si="3"/>
        <v>-0.33252992994677877</v>
      </c>
    </row>
    <row r="28" spans="1:7" x14ac:dyDescent="0.35">
      <c r="A28" s="1">
        <v>42522</v>
      </c>
      <c r="B28">
        <v>9478</v>
      </c>
      <c r="C28">
        <v>30</v>
      </c>
      <c r="D28">
        <f t="shared" si="0"/>
        <v>315.93333333333334</v>
      </c>
      <c r="E28">
        <f t="shared" si="1"/>
        <v>243</v>
      </c>
      <c r="F28">
        <f t="shared" si="2"/>
        <v>490.8689531730559</v>
      </c>
      <c r="G28" s="4">
        <f t="shared" si="3"/>
        <v>-0.55371055024178906</v>
      </c>
    </row>
    <row r="29" spans="1:7" x14ac:dyDescent="0.35">
      <c r="A29" s="1">
        <v>42491</v>
      </c>
      <c r="B29">
        <v>14227</v>
      </c>
      <c r="C29">
        <v>31</v>
      </c>
      <c r="D29">
        <f t="shared" si="0"/>
        <v>458.93548387096774</v>
      </c>
      <c r="E29">
        <f t="shared" si="1"/>
        <v>213</v>
      </c>
      <c r="F29">
        <f t="shared" si="2"/>
        <v>536.3205145995064</v>
      </c>
      <c r="G29" s="4">
        <f t="shared" si="3"/>
        <v>-0.16861853887570805</v>
      </c>
    </row>
    <row r="30" spans="1:7" x14ac:dyDescent="0.35">
      <c r="A30" s="1">
        <v>42461</v>
      </c>
      <c r="B30">
        <v>10932</v>
      </c>
      <c r="C30">
        <v>24</v>
      </c>
      <c r="D30">
        <f t="shared" si="0"/>
        <v>455.5</v>
      </c>
      <c r="E30">
        <f t="shared" si="1"/>
        <v>182</v>
      </c>
      <c r="F30">
        <f t="shared" si="2"/>
        <v>592.24852793245236</v>
      </c>
      <c r="G30" s="4">
        <f t="shared" si="3"/>
        <v>-0.30021630720626202</v>
      </c>
    </row>
    <row r="31" spans="1:7" x14ac:dyDescent="0.35">
      <c r="A31" s="1">
        <v>42430</v>
      </c>
      <c r="B31">
        <v>24618</v>
      </c>
      <c r="C31">
        <v>31</v>
      </c>
      <c r="D31">
        <f t="shared" si="0"/>
        <v>794.12903225806451</v>
      </c>
      <c r="E31">
        <f t="shared" si="1"/>
        <v>152</v>
      </c>
      <c r="F31">
        <f t="shared" si="2"/>
        <v>657.67942732173572</v>
      </c>
      <c r="G31" s="4">
        <f t="shared" si="3"/>
        <v>0.17182296502665501</v>
      </c>
    </row>
    <row r="32" spans="1:7" x14ac:dyDescent="0.35">
      <c r="A32" s="1">
        <v>42401</v>
      </c>
      <c r="B32">
        <v>22332</v>
      </c>
      <c r="C32">
        <v>29</v>
      </c>
      <c r="D32">
        <f t="shared" si="0"/>
        <v>770.06896551724139</v>
      </c>
      <c r="E32">
        <f t="shared" si="1"/>
        <v>121</v>
      </c>
      <c r="F32">
        <f t="shared" si="2"/>
        <v>740.95470496779137</v>
      </c>
      <c r="G32" s="4">
        <f t="shared" si="3"/>
        <v>3.7807341748793244E-2</v>
      </c>
    </row>
    <row r="33" spans="1:7" x14ac:dyDescent="0.35">
      <c r="A33" s="1">
        <v>42370</v>
      </c>
      <c r="B33">
        <v>26047</v>
      </c>
      <c r="C33">
        <v>30</v>
      </c>
      <c r="D33">
        <f t="shared" si="0"/>
        <v>868.23333333333335</v>
      </c>
      <c r="E33">
        <f t="shared" si="1"/>
        <v>92</v>
      </c>
      <c r="F33">
        <f t="shared" si="2"/>
        <v>838.61489893749797</v>
      </c>
      <c r="G33" s="4">
        <f t="shared" si="3"/>
        <v>3.4113449989444516E-2</v>
      </c>
    </row>
    <row r="34" spans="1:7" x14ac:dyDescent="0.35">
      <c r="A34" s="1">
        <v>42339</v>
      </c>
      <c r="B34">
        <v>34807</v>
      </c>
      <c r="C34">
        <v>31</v>
      </c>
      <c r="D34">
        <f t="shared" si="0"/>
        <v>1122.8064516129032</v>
      </c>
      <c r="E34">
        <f t="shared" si="1"/>
        <v>61</v>
      </c>
      <c r="F34">
        <f t="shared" si="2"/>
        <v>973.14242095260317</v>
      </c>
      <c r="G34" s="4">
        <f t="shared" si="3"/>
        <v>0.13329459449160513</v>
      </c>
    </row>
    <row r="35" spans="1:7" x14ac:dyDescent="0.35">
      <c r="A35" s="1">
        <v>42309</v>
      </c>
      <c r="B35">
        <v>15916</v>
      </c>
      <c r="C35">
        <v>13</v>
      </c>
      <c r="D35">
        <f t="shared" si="0"/>
        <v>1224.3076923076924</v>
      </c>
      <c r="E35">
        <f t="shared" si="1"/>
        <v>30</v>
      </c>
      <c r="F35">
        <f t="shared" si="2"/>
        <v>1154.2173416313983</v>
      </c>
      <c r="G35" s="4">
        <f t="shared" si="3"/>
        <v>5.724896700124546E-2</v>
      </c>
    </row>
    <row r="36" spans="1:7" x14ac:dyDescent="0.35">
      <c r="G36" s="4"/>
    </row>
    <row r="37" spans="1:7" x14ac:dyDescent="0.35">
      <c r="G37" s="4"/>
    </row>
    <row r="38" spans="1:7" x14ac:dyDescent="0.35">
      <c r="G38" s="4"/>
    </row>
    <row r="39" spans="1:7" x14ac:dyDescent="0.35">
      <c r="G39" s="4"/>
    </row>
    <row r="40" spans="1:7" x14ac:dyDescent="0.35">
      <c r="G40" s="4"/>
    </row>
    <row r="41" spans="1:7" x14ac:dyDescent="0.35">
      <c r="G41" s="4"/>
    </row>
    <row r="42" spans="1:7" x14ac:dyDescent="0.35">
      <c r="G42" s="4"/>
    </row>
    <row r="43" spans="1:7" x14ac:dyDescent="0.35">
      <c r="G43" s="4"/>
    </row>
    <row r="44" spans="1:7" x14ac:dyDescent="0.35">
      <c r="G44" s="4"/>
    </row>
    <row r="45" spans="1:7" x14ac:dyDescent="0.35">
      <c r="G45" s="4"/>
    </row>
    <row r="46" spans="1:7" x14ac:dyDescent="0.35">
      <c r="G46" s="4"/>
    </row>
    <row r="47" spans="1:7" x14ac:dyDescent="0.35">
      <c r="G47" s="4"/>
    </row>
    <row r="48" spans="1:7" x14ac:dyDescent="0.35">
      <c r="G48" s="4"/>
    </row>
    <row r="49" spans="7:7" x14ac:dyDescent="0.35">
      <c r="G49" s="4"/>
    </row>
    <row r="50" spans="7:7" x14ac:dyDescent="0.35">
      <c r="G50" s="4"/>
    </row>
    <row r="51" spans="7:7" x14ac:dyDescent="0.35">
      <c r="G51" s="4"/>
    </row>
    <row r="52" spans="7:7" x14ac:dyDescent="0.35">
      <c r="G52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2"/>
  <sheetViews>
    <sheetView zoomScale="80" zoomScaleNormal="80" workbookViewId="0">
      <selection activeCell="Q9" sqref="Q9"/>
    </sheetView>
  </sheetViews>
  <sheetFormatPr defaultRowHeight="14.5" x14ac:dyDescent="0.35"/>
  <cols>
    <col min="1" max="1" width="9.7265625" bestFit="1" customWidth="1"/>
    <col min="7" max="7" width="9.45312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10</v>
      </c>
      <c r="E1" t="s">
        <v>9</v>
      </c>
      <c r="F1" t="s">
        <v>3</v>
      </c>
      <c r="G1" t="s">
        <v>4</v>
      </c>
      <c r="I1" t="s">
        <v>5</v>
      </c>
      <c r="J1">
        <v>450</v>
      </c>
      <c r="K1" t="s">
        <v>8</v>
      </c>
      <c r="M1" t="s">
        <v>21</v>
      </c>
    </row>
    <row r="2" spans="1:15" x14ac:dyDescent="0.35">
      <c r="A2" s="1">
        <v>43313</v>
      </c>
      <c r="B2">
        <v>1350</v>
      </c>
      <c r="C2">
        <v>31</v>
      </c>
      <c r="D2">
        <f>B2/C2</f>
        <v>43.548387096774192</v>
      </c>
      <c r="E2">
        <f>E3+C2</f>
        <v>1219</v>
      </c>
      <c r="F2">
        <f>ArpsRate(J$1,$J$2,$J$3,E2)</f>
        <v>40.778335756543555</v>
      </c>
      <c r="G2" s="4">
        <f>(D2-F2)/D2</f>
        <v>6.3608586331222045E-2</v>
      </c>
      <c r="I2" t="s">
        <v>6</v>
      </c>
      <c r="J2">
        <v>7.0000000000000001E-3</v>
      </c>
      <c r="M2" t="s">
        <v>22</v>
      </c>
      <c r="N2" t="s">
        <v>23</v>
      </c>
      <c r="O2" t="s">
        <v>24</v>
      </c>
    </row>
    <row r="3" spans="1:15" x14ac:dyDescent="0.35">
      <c r="A3" s="1">
        <v>43282</v>
      </c>
      <c r="B3">
        <v>1438</v>
      </c>
      <c r="C3">
        <v>31</v>
      </c>
      <c r="D3">
        <f>B3/C3</f>
        <v>46.387096774193552</v>
      </c>
      <c r="E3">
        <f t="shared" ref="E2:E37" si="0">E4+A2-A3</f>
        <v>1188</v>
      </c>
      <c r="F3">
        <f>ArpsRate(J$1,$J$2,$J$3,E3)</f>
        <v>41.822621579301142</v>
      </c>
      <c r="G3" s="4">
        <f>(D3-F3)/D3</f>
        <v>9.8399673881547065E-2</v>
      </c>
      <c r="I3" t="s">
        <v>7</v>
      </c>
      <c r="J3">
        <v>0.9</v>
      </c>
      <c r="M3">
        <f>E2</f>
        <v>1219</v>
      </c>
      <c r="N3">
        <f>ArpsRate($J$1,$J$2,$J$3,M3)</f>
        <v>40.778335756543555</v>
      </c>
      <c r="O3">
        <f>NominalDecline(J2,J3,M3)</f>
        <v>8.0647948661820106E-4</v>
      </c>
    </row>
    <row r="4" spans="1:15" x14ac:dyDescent="0.35">
      <c r="A4" s="1">
        <v>43252</v>
      </c>
      <c r="B4">
        <v>1432</v>
      </c>
      <c r="C4">
        <v>30</v>
      </c>
      <c r="D4">
        <f>B4/C4</f>
        <v>47.733333333333334</v>
      </c>
      <c r="E4">
        <f t="shared" si="0"/>
        <v>1157</v>
      </c>
      <c r="F4">
        <f>ArpsRate(J$1,$J$2,$J$3,E4)</f>
        <v>42.918917465555346</v>
      </c>
      <c r="G4" s="4">
        <f>(D4-F4)/D4</f>
        <v>0.10086066762104724</v>
      </c>
      <c r="I4" t="s">
        <v>18</v>
      </c>
      <c r="J4">
        <v>20</v>
      </c>
      <c r="K4" t="s">
        <v>8</v>
      </c>
      <c r="M4">
        <v>1300</v>
      </c>
      <c r="N4">
        <f t="shared" ref="N4:N6" si="1">ArpsRate($J$1,$J$2,$J$3,M4)</f>
        <v>38.270306953270449</v>
      </c>
    </row>
    <row r="5" spans="1:15" x14ac:dyDescent="0.35">
      <c r="A5" s="1">
        <v>43221</v>
      </c>
      <c r="B5">
        <v>1441</v>
      </c>
      <c r="C5">
        <v>31</v>
      </c>
      <c r="D5">
        <f>B5/C5</f>
        <v>46.483870967741936</v>
      </c>
      <c r="E5">
        <f t="shared" si="0"/>
        <v>1127</v>
      </c>
      <c r="F5">
        <f>ArpsRate(J$1,$J$2,$J$3,E5)</f>
        <v>44.033048909868036</v>
      </c>
      <c r="G5" s="4">
        <f>(D5-F5)/D5</f>
        <v>5.2724138649612007E-2</v>
      </c>
      <c r="I5" t="s">
        <v>19</v>
      </c>
      <c r="J5">
        <f>SUM(B:B)</f>
        <v>117707</v>
      </c>
      <c r="K5" t="s">
        <v>15</v>
      </c>
      <c r="M5">
        <v>1500</v>
      </c>
      <c r="N5">
        <f t="shared" si="1"/>
        <v>33.178830970891006</v>
      </c>
    </row>
    <row r="6" spans="1:15" x14ac:dyDescent="0.35">
      <c r="A6" s="1">
        <v>43191</v>
      </c>
      <c r="B6">
        <v>1583</v>
      </c>
      <c r="C6">
        <v>30</v>
      </c>
      <c r="D6">
        <f>B6/C6</f>
        <v>52.766666666666666</v>
      </c>
      <c r="E6">
        <f t="shared" si="0"/>
        <v>1096</v>
      </c>
      <c r="F6">
        <f>ArpsRate(J$1,$J$2,$J$3,E6)</f>
        <v>45.243477001842351</v>
      </c>
      <c r="G6" s="4">
        <f>(D6-F6)/D6</f>
        <v>0.14257466199919738</v>
      </c>
      <c r="I6" t="s">
        <v>16</v>
      </c>
      <c r="J6">
        <f>cumulativeProduction(N3,J2,J3,J4)</f>
        <v>4150.1783073701436</v>
      </c>
      <c r="K6" t="s">
        <v>15</v>
      </c>
      <c r="M6">
        <v>1800</v>
      </c>
      <c r="N6">
        <f t="shared" si="1"/>
        <v>27.582912015861755</v>
      </c>
    </row>
    <row r="7" spans="1:15" x14ac:dyDescent="0.35">
      <c r="A7" s="1">
        <v>43160</v>
      </c>
      <c r="B7">
        <v>1468</v>
      </c>
      <c r="C7">
        <v>31</v>
      </c>
      <c r="D7">
        <f>B7/C7</f>
        <v>47.354838709677416</v>
      </c>
      <c r="E7">
        <f t="shared" si="0"/>
        <v>1066</v>
      </c>
      <c r="F7">
        <f>ArpsRate(J$1,$J$2,$J$3,E7)</f>
        <v>46.476526971511916</v>
      </c>
      <c r="G7" s="4">
        <f>(D7-F7)/D7</f>
        <v>1.8547454961260566E-2</v>
      </c>
      <c r="I7" s="5" t="s">
        <v>17</v>
      </c>
      <c r="J7" s="6">
        <f>J5+J6</f>
        <v>121857.17830737014</v>
      </c>
      <c r="K7" s="7"/>
    </row>
    <row r="8" spans="1:15" x14ac:dyDescent="0.35">
      <c r="A8" s="1">
        <v>43132</v>
      </c>
      <c r="B8">
        <v>1558</v>
      </c>
      <c r="C8">
        <v>28</v>
      </c>
      <c r="D8">
        <f>B8/C8</f>
        <v>55.642857142857146</v>
      </c>
      <c r="E8">
        <f t="shared" si="0"/>
        <v>1035</v>
      </c>
      <c r="F8">
        <f>ArpsRate(J$1,$J$2,$J$3,E8)</f>
        <v>47.819502331754109</v>
      </c>
      <c r="G8" s="4">
        <f>(D8-F8)/D8</f>
        <v>0.14059944461545895</v>
      </c>
    </row>
    <row r="9" spans="1:15" x14ac:dyDescent="0.35">
      <c r="A9" s="1">
        <v>43101</v>
      </c>
      <c r="B9">
        <v>1672</v>
      </c>
      <c r="C9">
        <v>31</v>
      </c>
      <c r="D9">
        <f>B9/C9</f>
        <v>53.935483870967744</v>
      </c>
      <c r="E9">
        <f t="shared" si="0"/>
        <v>1007</v>
      </c>
      <c r="F9">
        <f>ArpsRate(J$1,$J$2,$J$3,E9)</f>
        <v>49.097404499901508</v>
      </c>
      <c r="G9" s="4">
        <f>(D9-F9)/D9</f>
        <v>8.9701232358285476E-2</v>
      </c>
      <c r="I9" t="s">
        <v>20</v>
      </c>
      <c r="J9" s="3">
        <f>SUM(G2:G52)</f>
        <v>-2.3275801782036059</v>
      </c>
    </row>
    <row r="10" spans="1:15" x14ac:dyDescent="0.35">
      <c r="A10" s="1">
        <v>43070</v>
      </c>
      <c r="B10">
        <v>1672</v>
      </c>
      <c r="C10">
        <v>31</v>
      </c>
      <c r="D10">
        <f>B10/C10</f>
        <v>53.935483870967744</v>
      </c>
      <c r="E10">
        <f t="shared" si="0"/>
        <v>976</v>
      </c>
      <c r="F10">
        <f>ArpsRate(J$1,$J$2,$J$3,E10)</f>
        <v>50.589987552713076</v>
      </c>
      <c r="G10" s="4">
        <f>(D10-F10)/D10</f>
        <v>6.2027742742759989E-2</v>
      </c>
    </row>
    <row r="11" spans="1:15" x14ac:dyDescent="0.35">
      <c r="A11" s="1">
        <v>43040</v>
      </c>
      <c r="B11">
        <v>1710</v>
      </c>
      <c r="C11">
        <v>30</v>
      </c>
      <c r="D11">
        <f>B11/C11</f>
        <v>57</v>
      </c>
      <c r="E11">
        <f t="shared" si="0"/>
        <v>945</v>
      </c>
      <c r="F11">
        <f>ArpsRate(J$1,$J$2,$J$3,E11)</f>
        <v>52.171207994135322</v>
      </c>
      <c r="G11" s="4">
        <f>(D11-F11)/D11</f>
        <v>8.4715649225696105E-2</v>
      </c>
    </row>
    <row r="12" spans="1:15" x14ac:dyDescent="0.35">
      <c r="A12" s="1">
        <v>43009</v>
      </c>
      <c r="B12">
        <v>1914</v>
      </c>
      <c r="C12">
        <v>31</v>
      </c>
      <c r="D12">
        <f>B12/C12</f>
        <v>61.741935483870968</v>
      </c>
      <c r="E12">
        <f t="shared" si="0"/>
        <v>915</v>
      </c>
      <c r="F12">
        <f>ArpsRate(J$1,$J$2,$J$3,E12)</f>
        <v>53.793326522477656</v>
      </c>
      <c r="G12" s="4">
        <f>(D12-F12)/D12</f>
        <v>0.128739225602504</v>
      </c>
    </row>
    <row r="13" spans="1:15" x14ac:dyDescent="0.35">
      <c r="A13" s="1">
        <v>42979</v>
      </c>
      <c r="B13">
        <v>2247</v>
      </c>
      <c r="C13">
        <v>30</v>
      </c>
      <c r="D13">
        <f>B13/C13</f>
        <v>74.900000000000006</v>
      </c>
      <c r="E13">
        <f t="shared" si="0"/>
        <v>884</v>
      </c>
      <c r="F13">
        <f>ArpsRate(J$1,$J$2,$J$3,E13)</f>
        <v>55.573187737531995</v>
      </c>
      <c r="G13" s="4">
        <f>(D13-F13)/D13</f>
        <v>0.25803487666846475</v>
      </c>
    </row>
    <row r="14" spans="1:15" x14ac:dyDescent="0.35">
      <c r="A14" s="1">
        <v>42948</v>
      </c>
      <c r="B14">
        <v>2622</v>
      </c>
      <c r="C14">
        <v>31</v>
      </c>
      <c r="D14">
        <f>B14/C14</f>
        <v>84.58064516129032</v>
      </c>
      <c r="E14">
        <f t="shared" si="0"/>
        <v>854</v>
      </c>
      <c r="F14">
        <f>ArpsRate(J$1,$J$2,$J$3,E14)</f>
        <v>57.405326116753223</v>
      </c>
      <c r="G14" s="4">
        <f>(D14-F14)/D14</f>
        <v>0.3212947713122235</v>
      </c>
    </row>
    <row r="15" spans="1:15" x14ac:dyDescent="0.35">
      <c r="A15" s="1">
        <v>42917</v>
      </c>
      <c r="B15">
        <v>2680</v>
      </c>
      <c r="C15">
        <v>31</v>
      </c>
      <c r="D15">
        <f>B15/C15</f>
        <v>86.451612903225808</v>
      </c>
      <c r="E15">
        <f t="shared" si="0"/>
        <v>823</v>
      </c>
      <c r="F15">
        <f>ArpsRate(J$1,$J$2,$J$3,E15)</f>
        <v>59.422918510846479</v>
      </c>
      <c r="G15" s="4">
        <f>(D15-F15)/D15</f>
        <v>0.31264534558349222</v>
      </c>
    </row>
    <row r="16" spans="1:15" x14ac:dyDescent="0.35">
      <c r="A16" s="1">
        <v>42887</v>
      </c>
      <c r="B16">
        <v>1864</v>
      </c>
      <c r="C16">
        <v>29</v>
      </c>
      <c r="D16">
        <f>B16/C16</f>
        <v>64.275862068965523</v>
      </c>
      <c r="E16">
        <f t="shared" si="0"/>
        <v>792</v>
      </c>
      <c r="F16">
        <f>ArpsRate(J$1,$J$2,$J$3,E16)</f>
        <v>61.579641763283284</v>
      </c>
      <c r="G16" s="4">
        <f>(D16-F16)/D16</f>
        <v>4.194763351115071E-2</v>
      </c>
    </row>
    <row r="17" spans="1:7" x14ac:dyDescent="0.35">
      <c r="A17" s="1">
        <v>42856</v>
      </c>
      <c r="B17">
        <v>1118</v>
      </c>
      <c r="C17">
        <v>22</v>
      </c>
      <c r="D17">
        <f>B17/C17</f>
        <v>50.81818181818182</v>
      </c>
      <c r="E17">
        <f t="shared" si="0"/>
        <v>762</v>
      </c>
      <c r="F17">
        <f>ArpsRate(J$1,$J$2,$J$3,E17)</f>
        <v>63.813016009651079</v>
      </c>
      <c r="G17" s="4">
        <f>(D17-F17)/D17</f>
        <v>-0.25571230072658646</v>
      </c>
    </row>
    <row r="18" spans="1:7" x14ac:dyDescent="0.35">
      <c r="A18" s="1">
        <v>42826</v>
      </c>
      <c r="B18">
        <v>1595</v>
      </c>
      <c r="C18">
        <v>30</v>
      </c>
      <c r="D18">
        <f>B18/C18</f>
        <v>53.166666666666664</v>
      </c>
      <c r="E18">
        <f t="shared" si="0"/>
        <v>731</v>
      </c>
      <c r="F18">
        <f>ArpsRate(J$1,$J$2,$J$3,E18)</f>
        <v>66.288165643238912</v>
      </c>
      <c r="G18" s="4">
        <f>(D18-F18)/D18</f>
        <v>-0.24679935379132756</v>
      </c>
    </row>
    <row r="19" spans="1:7" x14ac:dyDescent="0.35">
      <c r="A19" s="1">
        <v>42795</v>
      </c>
      <c r="B19">
        <v>1850</v>
      </c>
      <c r="C19">
        <v>31</v>
      </c>
      <c r="D19">
        <f>B19/C19</f>
        <v>59.677419354838712</v>
      </c>
      <c r="E19">
        <f t="shared" si="0"/>
        <v>701</v>
      </c>
      <c r="F19">
        <f>ArpsRate(J$1,$J$2,$J$3,E19)</f>
        <v>68.86321253623602</v>
      </c>
      <c r="G19" s="4">
        <f>(D19-F19)/D19</f>
        <v>-0.15392410195854947</v>
      </c>
    </row>
    <row r="20" spans="1:7" x14ac:dyDescent="0.35">
      <c r="A20" s="1">
        <v>42767</v>
      </c>
      <c r="B20">
        <v>1718</v>
      </c>
      <c r="C20">
        <v>28</v>
      </c>
      <c r="D20">
        <f>B20/C20</f>
        <v>61.357142857142854</v>
      </c>
      <c r="E20">
        <f t="shared" si="0"/>
        <v>670</v>
      </c>
      <c r="F20">
        <f>ArpsRate(J$1,$J$2,$J$3,E20)</f>
        <v>71.731251853643613</v>
      </c>
      <c r="G20" s="4">
        <f>(D20-F20)/D20</f>
        <v>-0.16907744581025685</v>
      </c>
    </row>
    <row r="21" spans="1:7" x14ac:dyDescent="0.35">
      <c r="A21" s="1">
        <v>42736</v>
      </c>
      <c r="B21">
        <v>2093</v>
      </c>
      <c r="C21">
        <v>31</v>
      </c>
      <c r="D21">
        <f>B21/C21</f>
        <v>67.516129032258064</v>
      </c>
      <c r="E21">
        <f t="shared" si="0"/>
        <v>642</v>
      </c>
      <c r="F21">
        <f>ArpsRate(J$1,$J$2,$J$3,E21)</f>
        <v>74.523615888196261</v>
      </c>
      <c r="G21" s="4">
        <f>(D21-F21)/D21</f>
        <v>-0.10378981965316966</v>
      </c>
    </row>
    <row r="22" spans="1:7" x14ac:dyDescent="0.35">
      <c r="A22" s="1">
        <v>42705</v>
      </c>
      <c r="B22">
        <v>2323</v>
      </c>
      <c r="C22">
        <v>31</v>
      </c>
      <c r="D22">
        <f>B22/C22</f>
        <v>74.935483870967744</v>
      </c>
      <c r="E22">
        <f t="shared" si="0"/>
        <v>611</v>
      </c>
      <c r="F22">
        <f>ArpsRate(J$1,$J$2,$J$3,E22)</f>
        <v>77.86582690468677</v>
      </c>
      <c r="G22" s="4">
        <f>(D22-F22)/D22</f>
        <v>-3.9104879055225923E-2</v>
      </c>
    </row>
    <row r="23" spans="1:7" x14ac:dyDescent="0.35">
      <c r="A23" s="1">
        <v>42675</v>
      </c>
      <c r="B23">
        <v>1907</v>
      </c>
      <c r="C23">
        <v>30</v>
      </c>
      <c r="D23">
        <f t="shared" ref="D23:D41" si="2">B23/C23</f>
        <v>63.56666666666667</v>
      </c>
      <c r="E23">
        <f t="shared" si="0"/>
        <v>580</v>
      </c>
      <c r="F23">
        <f t="shared" ref="F23:F41" si="3">ArpsRate(J$1,$J$2,$J$3,E23)</f>
        <v>81.504803333689452</v>
      </c>
      <c r="G23" s="4">
        <f t="shared" ref="G23:G41" si="4">(D23-F23)/D23</f>
        <v>-0.28219407446810879</v>
      </c>
    </row>
    <row r="24" spans="1:7" x14ac:dyDescent="0.35">
      <c r="A24" s="1">
        <v>42644</v>
      </c>
      <c r="B24">
        <v>2158</v>
      </c>
      <c r="C24">
        <v>31</v>
      </c>
      <c r="D24">
        <f t="shared" si="2"/>
        <v>69.612903225806448</v>
      </c>
      <c r="E24">
        <f t="shared" si="0"/>
        <v>550</v>
      </c>
      <c r="F24">
        <f t="shared" si="3"/>
        <v>85.347079737410098</v>
      </c>
      <c r="G24" s="4">
        <f t="shared" si="4"/>
        <v>-0.22602385164954272</v>
      </c>
    </row>
    <row r="25" spans="1:7" x14ac:dyDescent="0.35">
      <c r="A25" s="1">
        <v>42614</v>
      </c>
      <c r="B25">
        <v>1671</v>
      </c>
      <c r="C25">
        <v>25</v>
      </c>
      <c r="D25">
        <f t="shared" si="2"/>
        <v>66.84</v>
      </c>
      <c r="E25">
        <f t="shared" si="0"/>
        <v>519</v>
      </c>
      <c r="F25">
        <f t="shared" si="3"/>
        <v>89.695571437789255</v>
      </c>
      <c r="G25" s="4">
        <f t="shared" si="4"/>
        <v>-0.34194451582569196</v>
      </c>
    </row>
    <row r="26" spans="1:7" x14ac:dyDescent="0.35">
      <c r="A26" s="1">
        <v>42583</v>
      </c>
      <c r="B26">
        <v>1729</v>
      </c>
      <c r="C26">
        <v>31</v>
      </c>
      <c r="D26">
        <f t="shared" si="2"/>
        <v>55.774193548387096</v>
      </c>
      <c r="E26">
        <f t="shared" si="0"/>
        <v>489</v>
      </c>
      <c r="F26">
        <f t="shared" si="3"/>
        <v>94.32318089653883</v>
      </c>
      <c r="G26" s="4">
        <f t="shared" si="4"/>
        <v>-0.69116171647929658</v>
      </c>
    </row>
    <row r="27" spans="1:7" x14ac:dyDescent="0.35">
      <c r="A27" s="1">
        <v>42552</v>
      </c>
      <c r="B27">
        <v>2372</v>
      </c>
      <c r="C27">
        <v>31</v>
      </c>
      <c r="D27">
        <f t="shared" si="2"/>
        <v>76.516129032258064</v>
      </c>
      <c r="E27">
        <f t="shared" si="0"/>
        <v>458</v>
      </c>
      <c r="F27">
        <f t="shared" si="3"/>
        <v>99.605637268743067</v>
      </c>
      <c r="G27" s="4">
        <f t="shared" si="4"/>
        <v>-0.30176001489504006</v>
      </c>
    </row>
    <row r="28" spans="1:7" x14ac:dyDescent="0.35">
      <c r="A28" s="1">
        <v>42522</v>
      </c>
      <c r="B28">
        <v>2814</v>
      </c>
      <c r="C28">
        <v>30</v>
      </c>
      <c r="D28">
        <f t="shared" si="2"/>
        <v>93.8</v>
      </c>
      <c r="E28">
        <f t="shared" si="0"/>
        <v>427</v>
      </c>
      <c r="F28">
        <f t="shared" si="3"/>
        <v>105.480004828068</v>
      </c>
      <c r="G28" s="4">
        <f t="shared" si="4"/>
        <v>-0.12452030733547982</v>
      </c>
    </row>
    <row r="29" spans="1:7" x14ac:dyDescent="0.35">
      <c r="A29" s="1">
        <v>42491</v>
      </c>
      <c r="B29">
        <v>3192</v>
      </c>
      <c r="C29">
        <v>31</v>
      </c>
      <c r="D29">
        <f t="shared" si="2"/>
        <v>102.96774193548387</v>
      </c>
      <c r="E29">
        <f t="shared" si="0"/>
        <v>397</v>
      </c>
      <c r="F29">
        <f t="shared" si="3"/>
        <v>111.82549517072785</v>
      </c>
      <c r="G29" s="4">
        <f t="shared" si="4"/>
        <v>-8.6024545831003524E-2</v>
      </c>
    </row>
    <row r="30" spans="1:7" x14ac:dyDescent="0.35">
      <c r="A30" s="1">
        <v>42461</v>
      </c>
      <c r="B30">
        <v>3121</v>
      </c>
      <c r="C30">
        <v>30</v>
      </c>
      <c r="D30">
        <f t="shared" si="2"/>
        <v>104.03333333333333</v>
      </c>
      <c r="E30">
        <f t="shared" si="0"/>
        <v>366</v>
      </c>
      <c r="F30">
        <f t="shared" si="3"/>
        <v>119.18964909743003</v>
      </c>
      <c r="G30" s="4">
        <f t="shared" si="4"/>
        <v>-0.14568711083719998</v>
      </c>
    </row>
    <row r="31" spans="1:7" x14ac:dyDescent="0.35">
      <c r="A31" s="1">
        <v>42430</v>
      </c>
      <c r="B31">
        <v>3817</v>
      </c>
      <c r="C31">
        <v>31</v>
      </c>
      <c r="D31">
        <f t="shared" si="2"/>
        <v>123.12903225806451</v>
      </c>
      <c r="E31">
        <f t="shared" si="0"/>
        <v>336</v>
      </c>
      <c r="F31">
        <f t="shared" si="3"/>
        <v>127.24684708582465</v>
      </c>
      <c r="G31" s="4">
        <f t="shared" si="4"/>
        <v>-3.3443086104418235E-2</v>
      </c>
    </row>
    <row r="32" spans="1:7" x14ac:dyDescent="0.35">
      <c r="A32" s="1">
        <v>42401</v>
      </c>
      <c r="B32">
        <v>3368</v>
      </c>
      <c r="C32">
        <v>29</v>
      </c>
      <c r="D32">
        <f t="shared" si="2"/>
        <v>116.13793103448276</v>
      </c>
      <c r="E32">
        <f t="shared" si="0"/>
        <v>305</v>
      </c>
      <c r="F32">
        <f t="shared" si="3"/>
        <v>136.73277731632788</v>
      </c>
      <c r="G32" s="4">
        <f t="shared" si="4"/>
        <v>-0.17733092107289444</v>
      </c>
    </row>
    <row r="33" spans="1:7" x14ac:dyDescent="0.35">
      <c r="A33" s="1">
        <v>42370</v>
      </c>
      <c r="B33">
        <v>4589</v>
      </c>
      <c r="C33">
        <v>31</v>
      </c>
      <c r="D33">
        <f t="shared" si="2"/>
        <v>148.03225806451613</v>
      </c>
      <c r="E33">
        <f t="shared" si="0"/>
        <v>276</v>
      </c>
      <c r="F33">
        <f t="shared" si="3"/>
        <v>146.90425711943539</v>
      </c>
      <c r="G33" s="4">
        <f t="shared" si="4"/>
        <v>7.6199671600573156E-3</v>
      </c>
    </row>
    <row r="34" spans="1:7" x14ac:dyDescent="0.35">
      <c r="A34" s="1">
        <v>42339</v>
      </c>
      <c r="B34">
        <v>5995</v>
      </c>
      <c r="C34">
        <v>31</v>
      </c>
      <c r="D34">
        <f t="shared" si="2"/>
        <v>193.38709677419354</v>
      </c>
      <c r="E34">
        <f t="shared" si="0"/>
        <v>245</v>
      </c>
      <c r="F34">
        <f t="shared" si="3"/>
        <v>159.4897585156738</v>
      </c>
      <c r="G34" s="4">
        <f t="shared" si="4"/>
        <v>0.1752823162659069</v>
      </c>
    </row>
    <row r="35" spans="1:7" x14ac:dyDescent="0.35">
      <c r="A35" s="1">
        <v>42309</v>
      </c>
      <c r="B35">
        <v>6652</v>
      </c>
      <c r="C35">
        <v>30</v>
      </c>
      <c r="D35">
        <f t="shared" si="2"/>
        <v>221.73333333333332</v>
      </c>
      <c r="E35">
        <f t="shared" si="0"/>
        <v>214</v>
      </c>
      <c r="F35">
        <f t="shared" si="3"/>
        <v>174.29488533848883</v>
      </c>
      <c r="G35" s="4">
        <f t="shared" si="4"/>
        <v>0.21394369209941896</v>
      </c>
    </row>
    <row r="36" spans="1:7" x14ac:dyDescent="0.35">
      <c r="A36" s="1">
        <v>42278</v>
      </c>
      <c r="B36">
        <v>4950</v>
      </c>
      <c r="C36">
        <v>23</v>
      </c>
      <c r="D36">
        <f t="shared" si="2"/>
        <v>215.21739130434781</v>
      </c>
      <c r="E36">
        <f t="shared" si="0"/>
        <v>184</v>
      </c>
      <c r="F36">
        <f t="shared" si="3"/>
        <v>191.32688016849204</v>
      </c>
      <c r="G36" s="4">
        <f t="shared" si="4"/>
        <v>0.11100641537872381</v>
      </c>
    </row>
    <row r="37" spans="1:7" x14ac:dyDescent="0.35">
      <c r="A37" s="1">
        <v>42248</v>
      </c>
      <c r="B37">
        <v>3046</v>
      </c>
      <c r="C37">
        <v>23</v>
      </c>
      <c r="D37">
        <f t="shared" si="2"/>
        <v>132.43478260869566</v>
      </c>
      <c r="E37">
        <f t="shared" si="0"/>
        <v>153</v>
      </c>
      <c r="F37">
        <f t="shared" si="3"/>
        <v>212.58094079943578</v>
      </c>
      <c r="G37" s="4">
        <f t="shared" si="4"/>
        <v>-0.60517453656829379</v>
      </c>
    </row>
    <row r="38" spans="1:7" x14ac:dyDescent="0.35">
      <c r="A38" s="1">
        <v>42217</v>
      </c>
      <c r="B38">
        <v>6796</v>
      </c>
      <c r="C38">
        <v>29</v>
      </c>
      <c r="D38">
        <f t="shared" si="2"/>
        <v>234.34482758620689</v>
      </c>
      <c r="E38">
        <f t="shared" ref="E38:E39" si="5">E39+A37-A38</f>
        <v>123</v>
      </c>
      <c r="F38">
        <f t="shared" si="3"/>
        <v>237.87710074183448</v>
      </c>
      <c r="G38" s="4">
        <f t="shared" si="4"/>
        <v>-1.5072972559329045E-2</v>
      </c>
    </row>
    <row r="39" spans="1:7" x14ac:dyDescent="0.35">
      <c r="A39" s="1">
        <v>42186</v>
      </c>
      <c r="B39">
        <v>4132</v>
      </c>
      <c r="C39">
        <v>26</v>
      </c>
      <c r="D39">
        <f t="shared" si="2"/>
        <v>158.92307692307693</v>
      </c>
      <c r="E39">
        <f t="shared" si="5"/>
        <v>92</v>
      </c>
      <c r="F39">
        <f t="shared" si="3"/>
        <v>270.77252636372151</v>
      </c>
      <c r="G39" s="4">
        <f t="shared" si="4"/>
        <v>-0.70379614846484961</v>
      </c>
    </row>
    <row r="40" spans="1:7" x14ac:dyDescent="0.35">
      <c r="A40" s="1">
        <v>42156</v>
      </c>
      <c r="B40">
        <v>7608</v>
      </c>
      <c r="C40">
        <v>30</v>
      </c>
      <c r="D40">
        <f t="shared" si="2"/>
        <v>253.6</v>
      </c>
      <c r="E40">
        <f>E41+A39-A40</f>
        <v>61</v>
      </c>
      <c r="F40">
        <f t="shared" si="3"/>
        <v>313.53790225023914</v>
      </c>
      <c r="G40" s="4">
        <f t="shared" si="4"/>
        <v>-0.23634819499305659</v>
      </c>
    </row>
    <row r="41" spans="1:7" x14ac:dyDescent="0.35">
      <c r="A41" s="1">
        <v>42125</v>
      </c>
      <c r="B41">
        <v>10442</v>
      </c>
      <c r="C41">
        <v>23</v>
      </c>
      <c r="D41">
        <f t="shared" si="2"/>
        <v>454</v>
      </c>
      <c r="E41">
        <f t="shared" ref="E23:E41" si="6">E43+A40-A41</f>
        <v>31</v>
      </c>
      <c r="F41">
        <f t="shared" si="3"/>
        <v>369.08555434591045</v>
      </c>
      <c r="G41" s="4">
        <f t="shared" si="4"/>
        <v>0.18703622390768623</v>
      </c>
    </row>
    <row r="42" spans="1:7" x14ac:dyDescent="0.35">
      <c r="G42" s="4"/>
    </row>
    <row r="43" spans="1:7" x14ac:dyDescent="0.35">
      <c r="G43" s="4"/>
    </row>
    <row r="44" spans="1:7" x14ac:dyDescent="0.35">
      <c r="G44" s="4"/>
    </row>
    <row r="45" spans="1:7" x14ac:dyDescent="0.35">
      <c r="G45" s="4"/>
    </row>
    <row r="46" spans="1:7" x14ac:dyDescent="0.35">
      <c r="G46" s="4"/>
    </row>
    <row r="47" spans="1:7" x14ac:dyDescent="0.35">
      <c r="G47" s="4"/>
    </row>
    <row r="48" spans="1:7" x14ac:dyDescent="0.35">
      <c r="G48" s="4"/>
    </row>
    <row r="49" spans="7:7" x14ac:dyDescent="0.35">
      <c r="G49" s="4"/>
    </row>
    <row r="50" spans="7:7" x14ac:dyDescent="0.35">
      <c r="G50" s="4"/>
    </row>
    <row r="51" spans="7:7" x14ac:dyDescent="0.35">
      <c r="G51" s="4"/>
    </row>
    <row r="52" spans="7:7" x14ac:dyDescent="0.35">
      <c r="G52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9"/>
  <sheetViews>
    <sheetView workbookViewId="0">
      <selection activeCell="E14" sqref="E14"/>
    </sheetView>
  </sheetViews>
  <sheetFormatPr defaultRowHeight="14.5" x14ac:dyDescent="0.35"/>
  <sheetData>
    <row r="1" spans="1:13" x14ac:dyDescent="0.35">
      <c r="A1" s="8" t="s">
        <v>25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3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5" spans="1:13" ht="14.5" customHeight="1" x14ac:dyDescent="0.35">
      <c r="A5" s="9" t="s">
        <v>26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spans="1:13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</row>
    <row r="8" spans="1:13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</row>
    <row r="9" spans="1:13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</row>
  </sheetData>
  <mergeCells count="2">
    <mergeCell ref="A1:M3"/>
    <mergeCell ref="A5:M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33053037830000</vt:lpstr>
      <vt:lpstr>33053047860000</vt:lpstr>
      <vt:lpstr>33053047870000</vt:lpstr>
      <vt:lpstr>33053060370000</vt:lpstr>
      <vt:lpstr>Anaylsis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Kaeser</dc:creator>
  <cp:lastModifiedBy>Travis Kaeser</cp:lastModifiedBy>
  <dcterms:created xsi:type="dcterms:W3CDTF">2019-11-19T02:33:08Z</dcterms:created>
  <dcterms:modified xsi:type="dcterms:W3CDTF">2019-11-19T05:28:40Z</dcterms:modified>
</cp:coreProperties>
</file>